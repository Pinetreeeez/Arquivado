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ios\Documents\GitHub\Arquivado\Faculdade\Terceiro Semestre\Estatística Aplicada\"/>
    </mc:Choice>
  </mc:AlternateContent>
  <xr:revisionPtr revIDLastSave="0" documentId="13_ncr:1_{CDD29A5E-D39D-4A0C-ACEE-CEBBAA24C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identes de Segurança" sheetId="1" r:id="rId1"/>
    <sheet name="Gráficos" sheetId="5" r:id="rId2"/>
    <sheet name="BoxPlot" sheetId="3" r:id="rId3"/>
    <sheet name="Dispersão" sheetId="4" r:id="rId4"/>
    <sheet name="TI x TR, TI x SA" sheetId="10" r:id="rId5"/>
  </sheets>
  <definedNames>
    <definedName name="_xlchart.v1.0" hidden="1">Gráficos!$K$3:$K$8</definedName>
    <definedName name="_xlchart.v1.1" hidden="1">Gráficos!$L$3:$L$8</definedName>
    <definedName name="_xlchart.v1.2" hidden="1">Gráficos!$G$14:$G$18</definedName>
    <definedName name="_xlchart.v1.3" hidden="1">Gráficos!$H$14:$H$18</definedName>
    <definedName name="_xlchart.v1.4" hidden="1">'Incidentes de Segurança'!$C$1</definedName>
    <definedName name="_xlchart.v1.5" hidden="1">'Incidentes de Segurança'!$C$2:$C$41</definedName>
    <definedName name="_xlchart.v1.6" hidden="1">'Incidentes de Segurança'!$D$1</definedName>
    <definedName name="_xlchart.v1.7" hidden="1">'Incidentes de Segurança'!$D$2:$D$41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" l="1"/>
  <c r="H40" i="1"/>
  <c r="G41" i="1"/>
  <c r="H41" i="1"/>
  <c r="G42" i="1" a="1"/>
  <c r="G42" i="1" s="1"/>
  <c r="H42" i="1" a="1"/>
  <c r="H42" i="1" s="1"/>
  <c r="G44" i="1"/>
  <c r="H44" i="1"/>
  <c r="G45" i="1"/>
  <c r="G46" i="1" s="1"/>
  <c r="H45" i="1"/>
  <c r="H46" i="1"/>
  <c r="J2" i="4" l="1"/>
  <c r="K6" i="4" a="1"/>
  <c r="K6" i="4" s="1"/>
  <c r="K5" i="4"/>
  <c r="K4" i="4"/>
  <c r="L22" i="3" l="1"/>
  <c r="F19" i="3"/>
  <c r="L19" i="3" l="1"/>
  <c r="F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<sst xmlns="http://schemas.openxmlformats.org/spreadsheetml/2006/main" count="163" uniqueCount="61">
  <si>
    <t>ID</t>
  </si>
  <si>
    <t>Tipo de Incidente</t>
  </si>
  <si>
    <t>Tempo de Resolução (h)</t>
  </si>
  <si>
    <t>Sistemas Afetados</t>
  </si>
  <si>
    <t>Phishing</t>
  </si>
  <si>
    <t>Malware</t>
  </si>
  <si>
    <t>Acesso Não Autorizado</t>
  </si>
  <si>
    <t>Vazamento de Dados</t>
  </si>
  <si>
    <t>Média</t>
  </si>
  <si>
    <t>Mediana</t>
  </si>
  <si>
    <t>Moda</t>
  </si>
  <si>
    <t>Variância</t>
  </si>
  <si>
    <t>Desv. Pad</t>
  </si>
  <si>
    <t>CV</t>
  </si>
  <si>
    <t>Tempo de resolução</t>
  </si>
  <si>
    <t>Sistemas afetados</t>
  </si>
  <si>
    <t>Mínimo</t>
  </si>
  <si>
    <t>Q1</t>
  </si>
  <si>
    <t>Q2</t>
  </si>
  <si>
    <t>Q3</t>
  </si>
  <si>
    <t>Máximo</t>
  </si>
  <si>
    <t>Outlier 1</t>
  </si>
  <si>
    <t>Outlier 2</t>
  </si>
  <si>
    <t>Escore Z</t>
  </si>
  <si>
    <t>Correlação Positiva Forte</t>
  </si>
  <si>
    <t>a</t>
  </si>
  <si>
    <t>b</t>
  </si>
  <si>
    <t>y</t>
  </si>
  <si>
    <t>y = 0,853721x - 0,07002</t>
  </si>
  <si>
    <t>Total Geral</t>
  </si>
  <si>
    <t>Frequência Simples</t>
  </si>
  <si>
    <t>Apesar de haver outliers, a correlação persistiu. 
A maior quantidade de sistemas afetados por um vazamento de dados resulta em mais tempo necessário para resolver o problema</t>
  </si>
  <si>
    <t>Frequência Percentual</t>
  </si>
  <si>
    <t>Frequência Acumulada</t>
  </si>
  <si>
    <t>Tempo de Resolução</t>
  </si>
  <si>
    <t>1-7</t>
  </si>
  <si>
    <t>1-6</t>
  </si>
  <si>
    <t>7-12</t>
  </si>
  <si>
    <t>13-18</t>
  </si>
  <si>
    <t>25-30</t>
  </si>
  <si>
    <t>31-36</t>
  </si>
  <si>
    <t>Tipo de Problema</t>
  </si>
  <si>
    <t>7-13</t>
  </si>
  <si>
    <t>13-19</t>
  </si>
  <si>
    <t>19-25</t>
  </si>
  <si>
    <t>31-37</t>
  </si>
  <si>
    <t>37-43</t>
  </si>
  <si>
    <t>Qualitativa nominal</t>
  </si>
  <si>
    <t>Quantitativa contínua</t>
  </si>
  <si>
    <t>Quantitativa discreta</t>
  </si>
  <si>
    <t>1-11</t>
  </si>
  <si>
    <t>11-21</t>
  </si>
  <si>
    <t>21-31</t>
  </si>
  <si>
    <t>31-41</t>
  </si>
  <si>
    <t>Média de Tempo de Resolução (h)</t>
  </si>
  <si>
    <t>Rótulos de Coluna</t>
  </si>
  <si>
    <t>Média de Sistemas Afetados</t>
  </si>
  <si>
    <t>1-10</t>
  </si>
  <si>
    <t>11-20</t>
  </si>
  <si>
    <t>21-30</t>
  </si>
  <si>
    <t>31-40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</si>
</sst>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1F4E7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EF2FA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EFDA"/>
      </patternFill>
    </fill>
    <fill>
      <patternFill patternType="solid">
        <fgColor rgb="FFF0F7EB"/>
      </patternFill>
    </fill>
    <fill>
      <patternFill patternType="solid">
        <fgColor rgb="FFF4CCCC"/>
      </patternFill>
    </fill>
    <fill>
      <patternFill patternType="solid">
        <fgColor rgb="FFFAE5E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6E4F0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164" fontId="2" fillId="7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164" fontId="2" fillId="8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2" fillId="9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4" fontId="2" fillId="10" borderId="1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2" fontId="0" fillId="0" borderId="7" xfId="0" applyNumberFormat="1" applyBorder="1"/>
    <xf numFmtId="0" fontId="0" fillId="15" borderId="5" xfId="0" applyFill="1" applyBorder="1"/>
    <xf numFmtId="0" fontId="0" fillId="15" borderId="6" xfId="0" applyFill="1" applyBorder="1"/>
    <xf numFmtId="0" fontId="0" fillId="15" borderId="7" xfId="0" applyFill="1" applyBorder="1"/>
    <xf numFmtId="0" fontId="0" fillId="0" borderId="15" xfId="0" applyBorder="1"/>
    <xf numFmtId="0" fontId="0" fillId="0" borderId="11" xfId="0" applyBorder="1"/>
    <xf numFmtId="0" fontId="0" fillId="0" borderId="0" xfId="0" applyBorder="1"/>
    <xf numFmtId="0" fontId="0" fillId="0" borderId="16" xfId="0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4" fontId="0" fillId="13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16" borderId="17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</cellXfs>
  <cellStyles count="1">
    <cellStyle name="Normal" xfId="0" builtinId="0"/>
  </cellStyles>
  <dxfs count="9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alignment vertical="center"/>
    </dxf>
    <dxf>
      <alignment horizontal="center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Tipo de Problema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41B-4597-AB55-853641027D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41B-4597-AB55-853641027D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41B-4597-AB55-853641027D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41B-4597-AB55-853641027D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Gráficos!$G$3:$G$6</c:f>
              <c:strCache>
                <c:ptCount val="4"/>
                <c:pt idx="0">
                  <c:v>Acesso Não Autorizado</c:v>
                </c:pt>
                <c:pt idx="1">
                  <c:v>Malware</c:v>
                </c:pt>
                <c:pt idx="2">
                  <c:v>Phishing</c:v>
                </c:pt>
                <c:pt idx="3">
                  <c:v>Vazamento de Dados</c:v>
                </c:pt>
              </c:strCache>
            </c:strRef>
          </c:cat>
          <c:val>
            <c:numRef>
              <c:f>Gráficos!$H$3:$H$6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23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3-4080-93F1-9C8990E83D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de Resolução x Sistemas Afetados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'Incidentes de Segurança'!$D$1</c:f>
              <c:strCache>
                <c:ptCount val="1"/>
                <c:pt idx="0">
                  <c:v>Sistemas Afetados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'Incidentes de Segurança'!$C$2:$C$41</c:f>
              <c:numCache>
                <c:formatCode>0.0</c:formatCode>
                <c:ptCount val="40"/>
                <c:pt idx="0">
                  <c:v>1.3</c:v>
                </c:pt>
                <c:pt idx="1">
                  <c:v>2.7</c:v>
                </c:pt>
                <c:pt idx="2">
                  <c:v>1.8</c:v>
                </c:pt>
                <c:pt idx="3">
                  <c:v>3.4</c:v>
                </c:pt>
                <c:pt idx="4">
                  <c:v>1</c:v>
                </c:pt>
                <c:pt idx="5">
                  <c:v>4.2</c:v>
                </c:pt>
                <c:pt idx="6">
                  <c:v>2.1</c:v>
                </c:pt>
                <c:pt idx="7">
                  <c:v>5.8</c:v>
                </c:pt>
                <c:pt idx="8">
                  <c:v>1.6</c:v>
                </c:pt>
                <c:pt idx="9">
                  <c:v>3.1</c:v>
                </c:pt>
                <c:pt idx="10">
                  <c:v>2.4</c:v>
                </c:pt>
                <c:pt idx="11">
                  <c:v>1.9</c:v>
                </c:pt>
                <c:pt idx="12">
                  <c:v>4.7</c:v>
                </c:pt>
                <c:pt idx="13">
                  <c:v>2.2999999999999998</c:v>
                </c:pt>
                <c:pt idx="14">
                  <c:v>1.4</c:v>
                </c:pt>
                <c:pt idx="15">
                  <c:v>3.8</c:v>
                </c:pt>
                <c:pt idx="16">
                  <c:v>5.2</c:v>
                </c:pt>
                <c:pt idx="17">
                  <c:v>2.8</c:v>
                </c:pt>
                <c:pt idx="18">
                  <c:v>1.7</c:v>
                </c:pt>
                <c:pt idx="19">
                  <c:v>6.1</c:v>
                </c:pt>
                <c:pt idx="20">
                  <c:v>2.2000000000000002</c:v>
                </c:pt>
                <c:pt idx="21">
                  <c:v>3.6</c:v>
                </c:pt>
                <c:pt idx="22">
                  <c:v>4.0999999999999996</c:v>
                </c:pt>
                <c:pt idx="23">
                  <c:v>7.3</c:v>
                </c:pt>
                <c:pt idx="24">
                  <c:v>14.5</c:v>
                </c:pt>
                <c:pt idx="25">
                  <c:v>6.2</c:v>
                </c:pt>
                <c:pt idx="26">
                  <c:v>22</c:v>
                </c:pt>
                <c:pt idx="27">
                  <c:v>9.8000000000000007</c:v>
                </c:pt>
                <c:pt idx="28">
                  <c:v>21.5</c:v>
                </c:pt>
                <c:pt idx="29">
                  <c:v>11.4</c:v>
                </c:pt>
                <c:pt idx="30">
                  <c:v>17.2</c:v>
                </c:pt>
                <c:pt idx="31">
                  <c:v>8.6</c:v>
                </c:pt>
                <c:pt idx="32">
                  <c:v>4.8</c:v>
                </c:pt>
                <c:pt idx="33">
                  <c:v>12.3</c:v>
                </c:pt>
                <c:pt idx="34">
                  <c:v>7.6</c:v>
                </c:pt>
                <c:pt idx="35">
                  <c:v>19.399999999999999</c:v>
                </c:pt>
                <c:pt idx="36">
                  <c:v>9.1</c:v>
                </c:pt>
                <c:pt idx="37">
                  <c:v>15.7</c:v>
                </c:pt>
                <c:pt idx="38">
                  <c:v>31.5</c:v>
                </c:pt>
                <c:pt idx="39">
                  <c:v>37.200000000000003</c:v>
                </c:pt>
              </c:numCache>
            </c:numRef>
          </c:xVal>
          <c:yVal>
            <c:numRef>
              <c:f>'Incidentes de Segurança'!$D$2:$D$41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6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6</c:v>
                </c:pt>
                <c:pt idx="24">
                  <c:v>12</c:v>
                </c:pt>
                <c:pt idx="25">
                  <c:v>5</c:v>
                </c:pt>
                <c:pt idx="26">
                  <c:v>18</c:v>
                </c:pt>
                <c:pt idx="27">
                  <c:v>8</c:v>
                </c:pt>
                <c:pt idx="28">
                  <c:v>17</c:v>
                </c:pt>
                <c:pt idx="29">
                  <c:v>10</c:v>
                </c:pt>
                <c:pt idx="30">
                  <c:v>14</c:v>
                </c:pt>
                <c:pt idx="31">
                  <c:v>7</c:v>
                </c:pt>
                <c:pt idx="32">
                  <c:v>4</c:v>
                </c:pt>
                <c:pt idx="33">
                  <c:v>10</c:v>
                </c:pt>
                <c:pt idx="34">
                  <c:v>6</c:v>
                </c:pt>
                <c:pt idx="35">
                  <c:v>15</c:v>
                </c:pt>
                <c:pt idx="36">
                  <c:v>8</c:v>
                </c:pt>
                <c:pt idx="37">
                  <c:v>13</c:v>
                </c:pt>
                <c:pt idx="38">
                  <c:v>28</c:v>
                </c:pt>
                <c:pt idx="39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1A-49E4-B4D8-FF19E6F00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012879"/>
        <c:axId val="1253014319"/>
      </c:scatterChart>
      <c:valAx>
        <c:axId val="125301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3014319"/>
        <c:crosses val="autoZero"/>
        <c:crossBetween val="midCat"/>
      </c:valAx>
      <c:valAx>
        <c:axId val="12530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301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Tempo de Resolução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pt-BR" sz="1400" b="0" i="0" u="none" strike="noStrike" baseline="0">
              <a:solidFill>
                <a:schemeClr val="bg1"/>
              </a:solidFill>
              <a:latin typeface="Calibri"/>
            </a:rPr>
            <a:t>Tempo de Resolução</a:t>
          </a:r>
        </a:p>
      </cx:txPr>
    </cx:title>
    <cx:plotArea>
      <cx:plotAreaRegion>
        <cx:series layoutId="clusteredColumn" uniqueId="{349830AE-4C3E-4EFE-AA9B-E78E1D50BA42}" formatIdx="0">
          <cx:dataLabels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Sistemas Afetados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chemeClr val="bg1"/>
              </a:solidFill>
              <a:latin typeface="Calibri"/>
            </a:rPr>
            <a:t>Sistemas Afetados</a:t>
          </a:r>
        </a:p>
      </cx:txPr>
    </cx:title>
    <cx:plotArea>
      <cx:plotAreaRegion>
        <cx:series layoutId="clusteredColumn" uniqueId="{5550B084-7E80-4A88-AAC8-A57C25A0B132}" formatIdx="0">
          <cx:dataLabels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Tempo de resolução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Tempo de resolução</a:t>
          </a:r>
        </a:p>
      </cx:txPr>
    </cx:title>
    <cx:plotArea>
      <cx:plotAreaRegion>
        <cx:series layoutId="boxWhisker" uniqueId="{8989E0A2-1DEB-473F-BC4B-3BE143376A54}">
          <cx:tx>
            <cx:txData>
              <cx:f>_xlchart.v1.4</cx:f>
              <cx:v>Tempo de Resolução (h)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Sistemas afetados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Sistemas afetados</a:t>
          </a:r>
        </a:p>
      </cx:txPr>
    </cx:title>
    <cx:plotArea>
      <cx:plotAreaRegion>
        <cx:series layoutId="boxWhisker" uniqueId="{2AB6F66A-AB5D-4D6D-B2BE-A8979C5B4FB8}">
          <cx:tx>
            <cx:txData>
              <cx:f>_xlchart.v1.6</cx:f>
              <cx:v>Sistemas Afetados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0</xdr:row>
      <xdr:rowOff>88899</xdr:rowOff>
    </xdr:from>
    <xdr:to>
      <xdr:col>17</xdr:col>
      <xdr:colOff>502684</xdr:colOff>
      <xdr:row>36</xdr:row>
      <xdr:rowOff>104775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5DDD8EB-5FBA-42D2-8CE4-4550CA8BCCCA}"/>
            </a:ext>
          </a:extLst>
        </xdr:cNvPr>
        <xdr:cNvSpPr/>
      </xdr:nvSpPr>
      <xdr:spPr>
        <a:xfrm>
          <a:off x="5518150" y="88899"/>
          <a:ext cx="10100709" cy="7064376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pt-BR" sz="1200"/>
            <a:t>Uma empresa de cibersegurança registrou 40 incidentes de segurança ocorridos em clientes corporativos, incluindo casos de phishing, malware, acesso não autorizado e vazamento de dados. O objetivo do banco de dados é permitir análises estatísticas e operacionais que auxiliem na identificação dos incidentes mais críticos, na avaliação do impacto causado aos clientes e na compreensão da relação entre tempo de resposta e dimensão dos danos provocados pelos ataques. Para cada ocorrência</a:t>
          </a:r>
          <a:r>
            <a:rPr lang="pt-BR" sz="1200" baseline="0"/>
            <a:t>, foram coletadas um conjunto de dados contendo três variáveis: </a:t>
          </a:r>
          <a:r>
            <a:rPr lang="pt-BR" sz="1200" b="1" baseline="0"/>
            <a:t>Tipo de Incidente</a:t>
          </a:r>
          <a:r>
            <a:rPr lang="pt-BR" sz="1200" b="0" baseline="0"/>
            <a:t>, sendo o tipo específico de incidente de segurança; </a:t>
          </a:r>
          <a:r>
            <a:rPr lang="pt-BR" sz="1200" b="1" baseline="0"/>
            <a:t>Tempo de Resolução (Horas)</a:t>
          </a:r>
          <a:r>
            <a:rPr lang="pt-BR" sz="1200" b="0" baseline="0"/>
            <a:t>, horas necessárias para resolver o incidente e </a:t>
          </a:r>
          <a:r>
            <a:rPr lang="pt-BR" sz="1200" b="1" baseline="0"/>
            <a:t>Sistemas Afetados</a:t>
          </a:r>
          <a:r>
            <a:rPr lang="pt-BR" sz="1200" b="0" baseline="0"/>
            <a:t>, quantidade de sistemas que foram afetados. </a:t>
          </a:r>
          <a:endParaRPr lang="pt-BR" sz="1200" b="1">
            <a:effectLst/>
          </a:endParaRPr>
        </a:p>
        <a:p>
          <a:pPr eaLnBrk="1" fontAlgn="auto" latinLnBrk="0" hangingPunct="1"/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pt-B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</a:t>
          </a:r>
          <a:r>
            <a:rPr lang="pt-B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base nos cálculos do 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Tempo de Resolução (Horas)</a:t>
          </a: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 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Sistemas Afetados</a:t>
          </a: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eaLnBrk="1" fontAlgn="auto" latinLnBrk="0" hangingPunct="1"/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pt-BR" sz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No</a:t>
          </a:r>
          <a:r>
            <a:rPr lang="pt-BR" sz="12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Tempo de Resolução</a:t>
          </a:r>
          <a:r>
            <a:rPr lang="pt-BR" sz="12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existe moda? Justifique.</a:t>
          </a:r>
        </a:p>
        <a:p>
          <a:pPr eaLnBrk="1" fontAlgn="auto" latinLnBrk="0" hangingPunct="1"/>
          <a:r>
            <a:rPr lang="pt-BR" sz="12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R: </a:t>
          </a:r>
          <a:r>
            <a:rPr lang="pt-BR" sz="1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Não, pois não há nenhum número que se repita dentro da sequência.</a:t>
          </a:r>
          <a:endParaRPr lang="pt-BR" sz="12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b) </a:t>
          </a:r>
          <a:r>
            <a:rPr lang="pt-B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Na</a:t>
          </a:r>
          <a:r>
            <a:rPr lang="pt-B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variável </a:t>
          </a:r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Sistemas Afetados</a:t>
          </a:r>
          <a:r>
            <a:rPr lang="pt-BR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os dados são homogêneos ou heterogêneos? Justifique.</a:t>
          </a:r>
        </a:p>
        <a:p>
          <a:pPr eaLnBrk="1" fontAlgn="auto" latinLnBrk="0" hangingPunct="1"/>
          <a:r>
            <a:rPr lang="pt-BR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R:</a:t>
          </a:r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São homogêneos, pois a diferença entra a média e o desvio padrão é pequena.</a:t>
          </a:r>
          <a:endParaRPr lang="pt-BR" sz="12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pt-B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Realize a tabela dinâmica dos tipos de incidentes. Em relação ao gráfico, teve algum tipo de incidente</a:t>
          </a:r>
          <a:r>
            <a:rPr lang="pt-B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com maior número de casos? Com base na quantidade desse tipo de incidente, a empresa deveria se esforçar principalmente só com ele? Justifique.</a:t>
          </a:r>
          <a:br>
            <a:rPr lang="pt-B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R: </a:t>
          </a:r>
          <a:r>
            <a:rPr lang="pt-BR" sz="1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Sim, o incidente com maior número de casos é o de Phishing. Não, porque mesmo sendo o maior incidente com maior número de casos foi apenas necessário o menor tempo de resolução para ser resolvido e não atingiu muitos sistemas possuindo menor número de sistemas afetados. A empresa deve na verdade focar nos incidentes de Vazamentos de Dados e de Malware, que possuem maior número de sistemas afetados e precisam de maior tempo de resolução para serem arrumadas.</a:t>
          </a:r>
          <a:endParaRPr lang="pt-BR" sz="12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pt-BR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Compare a média de 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Tempo de Resolução (Horas)</a:t>
          </a: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 </a:t>
          </a:r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Sistemas Afetados </a:t>
          </a:r>
          <a:r>
            <a:rPr lang="pt-BR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entre os tipos de </a:t>
          </a:r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incidentes</a:t>
          </a:r>
          <a:r>
            <a:rPr lang="pt-BR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utilizando cruzamento de variáveis.</a:t>
          </a:r>
          <a:br>
            <a:rPr lang="pt-BR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pt-BR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Qual tipo de incidente teve, em média, maior tempo de resolução e maior quantidade de sistemas afetados? 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diferença desse incidente comparado aos outros incidentes é grande o suficiente para ser um problema sério para a empresa?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</a:t>
          </a:r>
          <a:r>
            <a:rPr lang="pt-BR" sz="12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 tipo de incidente que teve maior tempo de resolução e maior quantidade de sistemas afetados é o de Vazamento de Dados. Sim, pois ele possui o maior número de tempo de resolução e de sistemas afetados por uma grande margem.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0" i="0" baseline="0">
            <a:solidFill>
              <a:schemeClr val="tx1">
                <a:lumMod val="95000"/>
                <a:lumOff val="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b) </a:t>
          </a:r>
          <a:r>
            <a:rPr lang="pt-BR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Comparando a média de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Tempo_Resolução_Horas 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 os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Sistemas_Afetados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qual é a categoria de tempo de resolução de horas que possui o menor número de sistemas afetados no total.</a:t>
          </a:r>
          <a:endParaRPr lang="pt-BR" sz="12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R: </a:t>
          </a:r>
          <a:r>
            <a:rPr lang="pt-BR" sz="12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 categoria que de tempo de resolução de horas que possui o menor número de sistemas afetados é de 1-11 horas.</a:t>
          </a:r>
          <a:endParaRPr lang="pt-BR" sz="12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eaLnBrk="1" fontAlgn="auto" latinLnBrk="0" hangingPunct="1"/>
          <a:r>
            <a:rPr lang="pt-BR" sz="1200" b="0">
              <a:solidFill>
                <a:srgbClr val="0070C0"/>
              </a:solidFill>
              <a:effectLst/>
            </a:rPr>
            <a:t>4) </a:t>
          </a:r>
          <a:r>
            <a:rPr lang="pt-BR" sz="1200" b="0">
              <a:solidFill>
                <a:schemeClr val="tx1"/>
              </a:solidFill>
              <a:effectLst/>
            </a:rPr>
            <a:t>Faça</a:t>
          </a:r>
          <a:r>
            <a:rPr lang="pt-BR" sz="1200" b="0" baseline="0">
              <a:solidFill>
                <a:schemeClr val="tx1"/>
              </a:solidFill>
              <a:effectLst/>
            </a:rPr>
            <a:t> os gráficos de BoxPlot e Dispersão. Qual é a correlação linear, ela é positiva ou negativa? Há outliers? A presença desses outliers afetam grandemente a correlação? Justifique.</a:t>
          </a:r>
        </a:p>
        <a:p>
          <a:pPr eaLnBrk="1" fontAlgn="auto" latinLnBrk="0" hangingPunct="1"/>
          <a:r>
            <a:rPr lang="pt-BR" sz="1200" b="0" baseline="0">
              <a:solidFill>
                <a:schemeClr val="tx1"/>
              </a:solidFill>
              <a:effectLst/>
            </a:rPr>
            <a:t>R: </a:t>
          </a:r>
          <a:r>
            <a:rPr lang="pt-BR" sz="1200" b="0" baseline="0">
              <a:solidFill>
                <a:srgbClr val="FF0000"/>
              </a:solidFill>
              <a:effectLst/>
            </a:rPr>
            <a:t>A correlação linear é 0,99, sendo fortemente positiva. Há dois outliers, apesar de haver dois outliers a correlação persistiu pois ele segre o padrão estabelecido onde quanto mais sistemas afetados por um incidente tiver maior sera o tempo de resolução, fazendo com que eles fiquem no mesmo sentido.</a:t>
          </a:r>
          <a:endParaRPr lang="pt-BR" sz="1200" b="0">
            <a:solidFill>
              <a:srgbClr val="FF0000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38100</xdr:rowOff>
    </xdr:from>
    <xdr:to>
      <xdr:col>13</xdr:col>
      <xdr:colOff>527050</xdr:colOff>
      <xdr:row>12</xdr:row>
      <xdr:rowOff>107950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FC6C3D-411A-FBFD-C663-23082C1A6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44450</xdr:colOff>
      <xdr:row>12</xdr:row>
      <xdr:rowOff>120650</xdr:rowOff>
    </xdr:from>
    <xdr:to>
      <xdr:col>14</xdr:col>
      <xdr:colOff>184150</xdr:colOff>
      <xdr:row>24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BEB3C48-2FA9-BAC7-0E60-C22891C714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5050" y="2406650"/>
              <a:ext cx="3187700" cy="218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250825</xdr:colOff>
      <xdr:row>12</xdr:row>
      <xdr:rowOff>127000</xdr:rowOff>
    </xdr:from>
    <xdr:to>
      <xdr:col>9</xdr:col>
      <xdr:colOff>25400</xdr:colOff>
      <xdr:row>24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BA9FFC6-62A5-E915-EE37-406D59FEA2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3025" y="2413000"/>
              <a:ext cx="2212975" cy="221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101600</xdr:colOff>
      <xdr:row>15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7F01482-F393-4501-BD95-CDD585337C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90500"/>
              <a:ext cx="3149600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</xdr:row>
      <xdr:rowOff>0</xdr:rowOff>
    </xdr:from>
    <xdr:to>
      <xdr:col>12</xdr:col>
      <xdr:colOff>6350</xdr:colOff>
      <xdr:row>15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4CF3DE9-C2F8-4FFD-B39C-F26565EDA3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90500"/>
              <a:ext cx="3054350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486060-455F-44D2-9E16-D38AA46DC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55.467453703706" createdVersion="8" refreshedVersion="8" minRefreshableVersion="3" recordCount="40" xr:uid="{77916681-923F-4694-B11F-BB2AAFF2E025}">
  <cacheSource type="worksheet">
    <worksheetSource ref="B1:D41" sheet="Incidentes de Segurança"/>
  </cacheSource>
  <cacheFields count="3">
    <cacheField name="Tipo de Incidente" numFmtId="0">
      <sharedItems count="4">
        <s v="Phishing"/>
        <s v="Malware"/>
        <s v="Acesso Não Autorizado"/>
        <s v="Vazamento de Dados"/>
      </sharedItems>
    </cacheField>
    <cacheField name="Tempo de Resolução (h)" numFmtId="164">
      <sharedItems containsSemiMixedTypes="0" containsString="0" containsNumber="1" minValue="1" maxValue="37.200000000000003" count="40">
        <n v="1.3"/>
        <n v="2.7"/>
        <n v="1.8"/>
        <n v="3.4"/>
        <n v="1"/>
        <n v="4.2"/>
        <n v="2.1"/>
        <n v="5.8"/>
        <n v="1.6"/>
        <n v="3.1"/>
        <n v="2.4"/>
        <n v="1.9"/>
        <n v="4.7"/>
        <n v="2.2999999999999998"/>
        <n v="1.4"/>
        <n v="3.8"/>
        <n v="5.2"/>
        <n v="2.8"/>
        <n v="1.7"/>
        <n v="6.1"/>
        <n v="2.2000000000000002"/>
        <n v="3.6"/>
        <n v="4.0999999999999996"/>
        <n v="7.3"/>
        <n v="14.5"/>
        <n v="6.2"/>
        <n v="22"/>
        <n v="9.8000000000000007"/>
        <n v="21.5"/>
        <n v="11.4"/>
        <n v="17.2"/>
        <n v="8.6"/>
        <n v="4.8"/>
        <n v="12.3"/>
        <n v="7.6"/>
        <n v="19.399999999999999"/>
        <n v="9.1"/>
        <n v="15.7"/>
        <n v="31.5"/>
        <n v="37.200000000000003"/>
      </sharedItems>
      <fieldGroup base="1">
        <rangePr startNum="1" endNum="37.200000000000003" groupInterval="6"/>
        <groupItems count="9">
          <s v="&lt;1"/>
          <s v="1-7"/>
          <s v="7-13"/>
          <s v="13-19"/>
          <s v="19-25"/>
          <s v="25-31"/>
          <s v="31-37"/>
          <s v="37-43"/>
          <s v="&gt;43"/>
        </groupItems>
      </fieldGroup>
    </cacheField>
    <cacheField name="Sistemas Afetados" numFmtId="0">
      <sharedItems containsSemiMixedTypes="0" containsString="0" containsNumber="1" containsInteger="1" minValue="1" maxValue="33" count="17">
        <n v="1"/>
        <n v="2"/>
        <n v="3"/>
        <n v="4"/>
        <n v="5"/>
        <n v="6"/>
        <n v="12"/>
        <n v="18"/>
        <n v="8"/>
        <n v="17"/>
        <n v="10"/>
        <n v="14"/>
        <n v="7"/>
        <n v="15"/>
        <n v="13"/>
        <n v="28"/>
        <n v="33"/>
      </sharedItems>
      <fieldGroup base="2">
        <rangePr startNum="1" endNum="33" groupInterval="6"/>
        <groupItems count="8">
          <s v="&lt;1"/>
          <s v="1-6"/>
          <s v="7-12"/>
          <s v="13-18"/>
          <s v="19-24"/>
          <s v="25-30"/>
          <s v="31-36"/>
          <s v="&gt;3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55.476625925927" createdVersion="8" refreshedVersion="8" minRefreshableVersion="3" recordCount="40" xr:uid="{8293BE6F-E474-4E64-9880-CB8175D2A1CE}">
  <cacheSource type="worksheet">
    <worksheetSource ref="A1:D41" sheet="Incidentes de Segurança"/>
  </cacheSource>
  <cacheFields count="4">
    <cacheField name="ID" numFmtId="0">
      <sharedItems containsSemiMixedTypes="0" containsString="0" containsNumber="1" containsInteger="1" minValue="1" maxValue="40"/>
    </cacheField>
    <cacheField name="Tipo de Incidente" numFmtId="0">
      <sharedItems count="4">
        <s v="Phishing"/>
        <s v="Malware"/>
        <s v="Acesso Não Autorizado"/>
        <s v="Vazamento de Dados"/>
      </sharedItems>
    </cacheField>
    <cacheField name="Tempo de Resolução (h)" numFmtId="164">
      <sharedItems containsSemiMixedTypes="0" containsString="0" containsNumber="1" minValue="1" maxValue="37.200000000000003" count="40">
        <n v="1.3"/>
        <n v="2.7"/>
        <n v="1.8"/>
        <n v="3.4"/>
        <n v="1"/>
        <n v="4.2"/>
        <n v="2.1"/>
        <n v="5.8"/>
        <n v="1.6"/>
        <n v="3.1"/>
        <n v="2.4"/>
        <n v="1.9"/>
        <n v="4.7"/>
        <n v="2.2999999999999998"/>
        <n v="1.4"/>
        <n v="3.8"/>
        <n v="5.2"/>
        <n v="2.8"/>
        <n v="1.7"/>
        <n v="6.1"/>
        <n v="2.2000000000000002"/>
        <n v="3.6"/>
        <n v="4.0999999999999996"/>
        <n v="7.3"/>
        <n v="14.5"/>
        <n v="6.2"/>
        <n v="22"/>
        <n v="9.8000000000000007"/>
        <n v="21.5"/>
        <n v="11.4"/>
        <n v="17.2"/>
        <n v="8.6"/>
        <n v="4.8"/>
        <n v="12.3"/>
        <n v="7.6"/>
        <n v="19.399999999999999"/>
        <n v="9.1"/>
        <n v="15.7"/>
        <n v="31.5"/>
        <n v="37.200000000000003"/>
      </sharedItems>
      <fieldGroup base="2">
        <rangePr startNum="1" endNum="37.200000000000003" groupInterval="10"/>
        <groupItems count="6">
          <s v="&lt;1"/>
          <s v="1-11"/>
          <s v="11-21"/>
          <s v="21-31"/>
          <s v="31-41"/>
          <s v="&gt;41"/>
        </groupItems>
      </fieldGroup>
    </cacheField>
    <cacheField name="Sistemas Afetados" numFmtId="0">
      <sharedItems containsSemiMixedTypes="0" containsString="0" containsNumber="1" containsInteger="1" minValue="1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o Savoine" refreshedDate="46155.691491550926" createdVersion="8" refreshedVersion="8" minRefreshableVersion="3" recordCount="40" xr:uid="{C5EA8E8F-C658-4B4E-9351-07DC3B71FD0F}">
  <cacheSource type="worksheet">
    <worksheetSource ref="A1:D41" sheet="Incidentes de Segurança"/>
  </cacheSource>
  <cacheFields count="4">
    <cacheField name="ID" numFmtId="0">
      <sharedItems containsSemiMixedTypes="0" containsString="0" containsNumber="1" containsInteger="1" minValue="1" maxValue="40"/>
    </cacheField>
    <cacheField name="Tipo de Incidente" numFmtId="0">
      <sharedItems count="4">
        <s v="Phishing"/>
        <s v="Malware"/>
        <s v="Acesso Não Autorizado"/>
        <s v="Vazamento de Dados"/>
      </sharedItems>
    </cacheField>
    <cacheField name="Tempo de Resolução (h)" numFmtId="164">
      <sharedItems containsSemiMixedTypes="0" containsString="0" containsNumber="1" minValue="1" maxValue="37.200000000000003"/>
    </cacheField>
    <cacheField name="Sistemas Afetados" numFmtId="0">
      <sharedItems containsSemiMixedTypes="0" containsString="0" containsNumber="1" containsInteger="1" minValue="1" maxValue="33" count="17">
        <n v="1"/>
        <n v="2"/>
        <n v="3"/>
        <n v="4"/>
        <n v="5"/>
        <n v="6"/>
        <n v="12"/>
        <n v="18"/>
        <n v="8"/>
        <n v="17"/>
        <n v="10"/>
        <n v="14"/>
        <n v="7"/>
        <n v="15"/>
        <n v="13"/>
        <n v="28"/>
        <n v="33"/>
      </sharedItems>
      <fieldGroup base="3">
        <rangePr startNum="1" endNum="33" groupInterval="10"/>
        <groupItems count="6">
          <s v="&lt;1"/>
          <s v="1-10"/>
          <s v="11-20"/>
          <s v="21-30"/>
          <s v="31-40"/>
          <s v="&gt;4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o Savoine" refreshedDate="46155.731982060184" createdVersion="8" refreshedVersion="8" minRefreshableVersion="3" recordCount="40" xr:uid="{481DFD8E-1072-4598-B28A-3DF8B7D1F876}">
  <cacheSource type="worksheet">
    <worksheetSource ref="A1:D41" sheet="Incidentes de Segurança"/>
  </cacheSource>
  <cacheFields count="4">
    <cacheField name="ID" numFmtId="0">
      <sharedItems containsSemiMixedTypes="0" containsString="0" containsNumber="1" containsInteger="1" minValue="1" maxValue="40"/>
    </cacheField>
    <cacheField name="Tipo de Incidente" numFmtId="0">
      <sharedItems count="4">
        <s v="Phishing"/>
        <s v="Malware"/>
        <s v="Acesso Não Autorizado"/>
        <s v="Vazamento de Dados"/>
      </sharedItems>
    </cacheField>
    <cacheField name="Tempo de Resolução (h)" numFmtId="164">
      <sharedItems containsSemiMixedTypes="0" containsString="0" containsNumber="1" minValue="1" maxValue="37.200000000000003" count="40">
        <n v="1.3"/>
        <n v="2.7"/>
        <n v="1.8"/>
        <n v="3.4"/>
        <n v="1"/>
        <n v="4.2"/>
        <n v="2.1"/>
        <n v="5.8"/>
        <n v="1.6"/>
        <n v="3.1"/>
        <n v="2.4"/>
        <n v="1.9"/>
        <n v="4.7"/>
        <n v="2.2999999999999998"/>
        <n v="1.4"/>
        <n v="3.8"/>
        <n v="5.2"/>
        <n v="2.8"/>
        <n v="1.7"/>
        <n v="6.1"/>
        <n v="2.2000000000000002"/>
        <n v="3.6"/>
        <n v="4.0999999999999996"/>
        <n v="7.3"/>
        <n v="14.5"/>
        <n v="6.2"/>
        <n v="22"/>
        <n v="9.8000000000000007"/>
        <n v="21.5"/>
        <n v="11.4"/>
        <n v="17.2"/>
        <n v="8.6"/>
        <n v="4.8"/>
        <n v="12.3"/>
        <n v="7.6"/>
        <n v="19.399999999999999"/>
        <n v="9.1"/>
        <n v="15.7"/>
        <n v="31.5"/>
        <n v="37.200000000000003"/>
      </sharedItems>
      <fieldGroup base="2">
        <rangePr startNum="1" endNum="37.200000000000003" groupInterval="10"/>
        <groupItems count="6">
          <s v="&lt;1"/>
          <s v="1-11"/>
          <s v="11-21"/>
          <s v="21-31"/>
          <s v="31-41"/>
          <s v="&gt;41"/>
        </groupItems>
      </fieldGroup>
    </cacheField>
    <cacheField name="Sistemas Afetados" numFmtId="0">
      <sharedItems containsSemiMixedTypes="0" containsString="0" containsNumber="1" containsInteger="1" minValue="1" maxValue="33" count="17">
        <n v="1"/>
        <n v="2"/>
        <n v="3"/>
        <n v="4"/>
        <n v="5"/>
        <n v="6"/>
        <n v="12"/>
        <n v="18"/>
        <n v="8"/>
        <n v="17"/>
        <n v="10"/>
        <n v="14"/>
        <n v="7"/>
        <n v="15"/>
        <n v="13"/>
        <n v="28"/>
        <n v="33"/>
      </sharedItems>
      <fieldGroup base="3">
        <rangePr startNum="1" endNum="33" groupInterval="10"/>
        <groupItems count="6">
          <s v="&lt;1"/>
          <s v="1-10"/>
          <s v="11-20"/>
          <s v="21-30"/>
          <s v="31-40"/>
          <s v="&gt;4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</r>
  <r>
    <x v="0"/>
    <x v="1"/>
    <x v="1"/>
  </r>
  <r>
    <x v="0"/>
    <x v="2"/>
    <x v="0"/>
  </r>
  <r>
    <x v="0"/>
    <x v="3"/>
    <x v="2"/>
  </r>
  <r>
    <x v="0"/>
    <x v="4"/>
    <x v="0"/>
  </r>
  <r>
    <x v="0"/>
    <x v="5"/>
    <x v="3"/>
  </r>
  <r>
    <x v="0"/>
    <x v="6"/>
    <x v="1"/>
  </r>
  <r>
    <x v="0"/>
    <x v="7"/>
    <x v="4"/>
  </r>
  <r>
    <x v="0"/>
    <x v="8"/>
    <x v="0"/>
  </r>
  <r>
    <x v="0"/>
    <x v="9"/>
    <x v="2"/>
  </r>
  <r>
    <x v="0"/>
    <x v="10"/>
    <x v="1"/>
  </r>
  <r>
    <x v="0"/>
    <x v="11"/>
    <x v="1"/>
  </r>
  <r>
    <x v="0"/>
    <x v="12"/>
    <x v="3"/>
  </r>
  <r>
    <x v="0"/>
    <x v="13"/>
    <x v="1"/>
  </r>
  <r>
    <x v="0"/>
    <x v="14"/>
    <x v="0"/>
  </r>
  <r>
    <x v="0"/>
    <x v="15"/>
    <x v="2"/>
  </r>
  <r>
    <x v="0"/>
    <x v="16"/>
    <x v="4"/>
  </r>
  <r>
    <x v="0"/>
    <x v="17"/>
    <x v="2"/>
  </r>
  <r>
    <x v="0"/>
    <x v="18"/>
    <x v="0"/>
  </r>
  <r>
    <x v="0"/>
    <x v="19"/>
    <x v="5"/>
  </r>
  <r>
    <x v="0"/>
    <x v="20"/>
    <x v="1"/>
  </r>
  <r>
    <x v="0"/>
    <x v="21"/>
    <x v="2"/>
  </r>
  <r>
    <x v="0"/>
    <x v="22"/>
    <x v="3"/>
  </r>
  <r>
    <x v="1"/>
    <x v="23"/>
    <x v="5"/>
  </r>
  <r>
    <x v="1"/>
    <x v="24"/>
    <x v="6"/>
  </r>
  <r>
    <x v="1"/>
    <x v="25"/>
    <x v="4"/>
  </r>
  <r>
    <x v="1"/>
    <x v="26"/>
    <x v="7"/>
  </r>
  <r>
    <x v="1"/>
    <x v="27"/>
    <x v="8"/>
  </r>
  <r>
    <x v="1"/>
    <x v="28"/>
    <x v="9"/>
  </r>
  <r>
    <x v="1"/>
    <x v="29"/>
    <x v="10"/>
  </r>
  <r>
    <x v="1"/>
    <x v="30"/>
    <x v="11"/>
  </r>
  <r>
    <x v="1"/>
    <x v="31"/>
    <x v="12"/>
  </r>
  <r>
    <x v="2"/>
    <x v="32"/>
    <x v="3"/>
  </r>
  <r>
    <x v="2"/>
    <x v="33"/>
    <x v="10"/>
  </r>
  <r>
    <x v="2"/>
    <x v="34"/>
    <x v="5"/>
  </r>
  <r>
    <x v="2"/>
    <x v="35"/>
    <x v="13"/>
  </r>
  <r>
    <x v="2"/>
    <x v="36"/>
    <x v="8"/>
  </r>
  <r>
    <x v="2"/>
    <x v="37"/>
    <x v="14"/>
  </r>
  <r>
    <x v="3"/>
    <x v="38"/>
    <x v="15"/>
  </r>
  <r>
    <x v="3"/>
    <x v="39"/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n v="1"/>
  </r>
  <r>
    <n v="2"/>
    <x v="0"/>
    <x v="1"/>
    <n v="2"/>
  </r>
  <r>
    <n v="3"/>
    <x v="0"/>
    <x v="2"/>
    <n v="1"/>
  </r>
  <r>
    <n v="4"/>
    <x v="0"/>
    <x v="3"/>
    <n v="3"/>
  </r>
  <r>
    <n v="5"/>
    <x v="0"/>
    <x v="4"/>
    <n v="1"/>
  </r>
  <r>
    <n v="6"/>
    <x v="0"/>
    <x v="5"/>
    <n v="4"/>
  </r>
  <r>
    <n v="7"/>
    <x v="0"/>
    <x v="6"/>
    <n v="2"/>
  </r>
  <r>
    <n v="8"/>
    <x v="0"/>
    <x v="7"/>
    <n v="5"/>
  </r>
  <r>
    <n v="9"/>
    <x v="0"/>
    <x v="8"/>
    <n v="1"/>
  </r>
  <r>
    <n v="10"/>
    <x v="0"/>
    <x v="9"/>
    <n v="3"/>
  </r>
  <r>
    <n v="11"/>
    <x v="0"/>
    <x v="10"/>
    <n v="2"/>
  </r>
  <r>
    <n v="12"/>
    <x v="0"/>
    <x v="11"/>
    <n v="2"/>
  </r>
  <r>
    <n v="13"/>
    <x v="0"/>
    <x v="12"/>
    <n v="4"/>
  </r>
  <r>
    <n v="14"/>
    <x v="0"/>
    <x v="13"/>
    <n v="2"/>
  </r>
  <r>
    <n v="15"/>
    <x v="0"/>
    <x v="14"/>
    <n v="1"/>
  </r>
  <r>
    <n v="16"/>
    <x v="0"/>
    <x v="15"/>
    <n v="3"/>
  </r>
  <r>
    <n v="17"/>
    <x v="0"/>
    <x v="16"/>
    <n v="5"/>
  </r>
  <r>
    <n v="18"/>
    <x v="0"/>
    <x v="17"/>
    <n v="3"/>
  </r>
  <r>
    <n v="19"/>
    <x v="0"/>
    <x v="18"/>
    <n v="1"/>
  </r>
  <r>
    <n v="20"/>
    <x v="0"/>
    <x v="19"/>
    <n v="6"/>
  </r>
  <r>
    <n v="21"/>
    <x v="0"/>
    <x v="20"/>
    <n v="2"/>
  </r>
  <r>
    <n v="22"/>
    <x v="0"/>
    <x v="21"/>
    <n v="3"/>
  </r>
  <r>
    <n v="23"/>
    <x v="0"/>
    <x v="22"/>
    <n v="4"/>
  </r>
  <r>
    <n v="24"/>
    <x v="1"/>
    <x v="23"/>
    <n v="6"/>
  </r>
  <r>
    <n v="25"/>
    <x v="1"/>
    <x v="24"/>
    <n v="12"/>
  </r>
  <r>
    <n v="26"/>
    <x v="1"/>
    <x v="25"/>
    <n v="5"/>
  </r>
  <r>
    <n v="27"/>
    <x v="1"/>
    <x v="26"/>
    <n v="18"/>
  </r>
  <r>
    <n v="28"/>
    <x v="1"/>
    <x v="27"/>
    <n v="8"/>
  </r>
  <r>
    <n v="29"/>
    <x v="1"/>
    <x v="28"/>
    <n v="17"/>
  </r>
  <r>
    <n v="30"/>
    <x v="1"/>
    <x v="29"/>
    <n v="10"/>
  </r>
  <r>
    <n v="31"/>
    <x v="1"/>
    <x v="30"/>
    <n v="14"/>
  </r>
  <r>
    <n v="32"/>
    <x v="1"/>
    <x v="31"/>
    <n v="7"/>
  </r>
  <r>
    <n v="33"/>
    <x v="2"/>
    <x v="32"/>
    <n v="4"/>
  </r>
  <r>
    <n v="34"/>
    <x v="2"/>
    <x v="33"/>
    <n v="10"/>
  </r>
  <r>
    <n v="35"/>
    <x v="2"/>
    <x v="34"/>
    <n v="6"/>
  </r>
  <r>
    <n v="36"/>
    <x v="2"/>
    <x v="35"/>
    <n v="15"/>
  </r>
  <r>
    <n v="37"/>
    <x v="2"/>
    <x v="36"/>
    <n v="8"/>
  </r>
  <r>
    <n v="38"/>
    <x v="2"/>
    <x v="37"/>
    <n v="13"/>
  </r>
  <r>
    <n v="39"/>
    <x v="3"/>
    <x v="38"/>
    <n v="28"/>
  </r>
  <r>
    <n v="40"/>
    <x v="3"/>
    <x v="39"/>
    <n v="3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n v="1.3"/>
    <x v="0"/>
  </r>
  <r>
    <n v="2"/>
    <x v="0"/>
    <n v="2.7"/>
    <x v="1"/>
  </r>
  <r>
    <n v="3"/>
    <x v="0"/>
    <n v="1.8"/>
    <x v="0"/>
  </r>
  <r>
    <n v="4"/>
    <x v="0"/>
    <n v="3.4"/>
    <x v="2"/>
  </r>
  <r>
    <n v="5"/>
    <x v="0"/>
    <n v="1"/>
    <x v="0"/>
  </r>
  <r>
    <n v="6"/>
    <x v="0"/>
    <n v="4.2"/>
    <x v="3"/>
  </r>
  <r>
    <n v="7"/>
    <x v="0"/>
    <n v="2.1"/>
    <x v="1"/>
  </r>
  <r>
    <n v="8"/>
    <x v="0"/>
    <n v="5.8"/>
    <x v="4"/>
  </r>
  <r>
    <n v="9"/>
    <x v="0"/>
    <n v="1.6"/>
    <x v="0"/>
  </r>
  <r>
    <n v="10"/>
    <x v="0"/>
    <n v="3.1"/>
    <x v="2"/>
  </r>
  <r>
    <n v="11"/>
    <x v="0"/>
    <n v="2.4"/>
    <x v="1"/>
  </r>
  <r>
    <n v="12"/>
    <x v="0"/>
    <n v="1.9"/>
    <x v="1"/>
  </r>
  <r>
    <n v="13"/>
    <x v="0"/>
    <n v="4.7"/>
    <x v="3"/>
  </r>
  <r>
    <n v="14"/>
    <x v="0"/>
    <n v="2.2999999999999998"/>
    <x v="1"/>
  </r>
  <r>
    <n v="15"/>
    <x v="0"/>
    <n v="1.4"/>
    <x v="0"/>
  </r>
  <r>
    <n v="16"/>
    <x v="0"/>
    <n v="3.8"/>
    <x v="2"/>
  </r>
  <r>
    <n v="17"/>
    <x v="0"/>
    <n v="5.2"/>
    <x v="4"/>
  </r>
  <r>
    <n v="18"/>
    <x v="0"/>
    <n v="2.8"/>
    <x v="2"/>
  </r>
  <r>
    <n v="19"/>
    <x v="0"/>
    <n v="1.7"/>
    <x v="0"/>
  </r>
  <r>
    <n v="20"/>
    <x v="0"/>
    <n v="6.1"/>
    <x v="5"/>
  </r>
  <r>
    <n v="21"/>
    <x v="0"/>
    <n v="2.2000000000000002"/>
    <x v="1"/>
  </r>
  <r>
    <n v="22"/>
    <x v="0"/>
    <n v="3.6"/>
    <x v="2"/>
  </r>
  <r>
    <n v="23"/>
    <x v="0"/>
    <n v="4.0999999999999996"/>
    <x v="3"/>
  </r>
  <r>
    <n v="24"/>
    <x v="1"/>
    <n v="7.3"/>
    <x v="5"/>
  </r>
  <r>
    <n v="25"/>
    <x v="1"/>
    <n v="14.5"/>
    <x v="6"/>
  </r>
  <r>
    <n v="26"/>
    <x v="1"/>
    <n v="6.2"/>
    <x v="4"/>
  </r>
  <r>
    <n v="27"/>
    <x v="1"/>
    <n v="22"/>
    <x v="7"/>
  </r>
  <r>
    <n v="28"/>
    <x v="1"/>
    <n v="9.8000000000000007"/>
    <x v="8"/>
  </r>
  <r>
    <n v="29"/>
    <x v="1"/>
    <n v="21.5"/>
    <x v="9"/>
  </r>
  <r>
    <n v="30"/>
    <x v="1"/>
    <n v="11.4"/>
    <x v="10"/>
  </r>
  <r>
    <n v="31"/>
    <x v="1"/>
    <n v="17.2"/>
    <x v="11"/>
  </r>
  <r>
    <n v="32"/>
    <x v="1"/>
    <n v="8.6"/>
    <x v="12"/>
  </r>
  <r>
    <n v="33"/>
    <x v="2"/>
    <n v="4.8"/>
    <x v="3"/>
  </r>
  <r>
    <n v="34"/>
    <x v="2"/>
    <n v="12.3"/>
    <x v="10"/>
  </r>
  <r>
    <n v="35"/>
    <x v="2"/>
    <n v="7.6"/>
    <x v="5"/>
  </r>
  <r>
    <n v="36"/>
    <x v="2"/>
    <n v="19.399999999999999"/>
    <x v="13"/>
  </r>
  <r>
    <n v="37"/>
    <x v="2"/>
    <n v="9.1"/>
    <x v="8"/>
  </r>
  <r>
    <n v="38"/>
    <x v="2"/>
    <n v="15.7"/>
    <x v="14"/>
  </r>
  <r>
    <n v="39"/>
    <x v="3"/>
    <n v="31.5"/>
    <x v="15"/>
  </r>
  <r>
    <n v="40"/>
    <x v="3"/>
    <n v="37.200000000000003"/>
    <x v="1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x v="0"/>
  </r>
  <r>
    <n v="2"/>
    <x v="0"/>
    <x v="1"/>
    <x v="1"/>
  </r>
  <r>
    <n v="3"/>
    <x v="0"/>
    <x v="2"/>
    <x v="0"/>
  </r>
  <r>
    <n v="4"/>
    <x v="0"/>
    <x v="3"/>
    <x v="2"/>
  </r>
  <r>
    <n v="5"/>
    <x v="0"/>
    <x v="4"/>
    <x v="0"/>
  </r>
  <r>
    <n v="6"/>
    <x v="0"/>
    <x v="5"/>
    <x v="3"/>
  </r>
  <r>
    <n v="7"/>
    <x v="0"/>
    <x v="6"/>
    <x v="1"/>
  </r>
  <r>
    <n v="8"/>
    <x v="0"/>
    <x v="7"/>
    <x v="4"/>
  </r>
  <r>
    <n v="9"/>
    <x v="0"/>
    <x v="8"/>
    <x v="0"/>
  </r>
  <r>
    <n v="10"/>
    <x v="0"/>
    <x v="9"/>
    <x v="2"/>
  </r>
  <r>
    <n v="11"/>
    <x v="0"/>
    <x v="10"/>
    <x v="1"/>
  </r>
  <r>
    <n v="12"/>
    <x v="0"/>
    <x v="11"/>
    <x v="1"/>
  </r>
  <r>
    <n v="13"/>
    <x v="0"/>
    <x v="12"/>
    <x v="3"/>
  </r>
  <r>
    <n v="14"/>
    <x v="0"/>
    <x v="13"/>
    <x v="1"/>
  </r>
  <r>
    <n v="15"/>
    <x v="0"/>
    <x v="14"/>
    <x v="0"/>
  </r>
  <r>
    <n v="16"/>
    <x v="0"/>
    <x v="15"/>
    <x v="2"/>
  </r>
  <r>
    <n v="17"/>
    <x v="0"/>
    <x v="16"/>
    <x v="4"/>
  </r>
  <r>
    <n v="18"/>
    <x v="0"/>
    <x v="17"/>
    <x v="2"/>
  </r>
  <r>
    <n v="19"/>
    <x v="0"/>
    <x v="18"/>
    <x v="0"/>
  </r>
  <r>
    <n v="20"/>
    <x v="0"/>
    <x v="19"/>
    <x v="5"/>
  </r>
  <r>
    <n v="21"/>
    <x v="0"/>
    <x v="20"/>
    <x v="1"/>
  </r>
  <r>
    <n v="22"/>
    <x v="0"/>
    <x v="21"/>
    <x v="2"/>
  </r>
  <r>
    <n v="23"/>
    <x v="0"/>
    <x v="22"/>
    <x v="3"/>
  </r>
  <r>
    <n v="24"/>
    <x v="1"/>
    <x v="23"/>
    <x v="5"/>
  </r>
  <r>
    <n v="25"/>
    <x v="1"/>
    <x v="24"/>
    <x v="6"/>
  </r>
  <r>
    <n v="26"/>
    <x v="1"/>
    <x v="25"/>
    <x v="4"/>
  </r>
  <r>
    <n v="27"/>
    <x v="1"/>
    <x v="26"/>
    <x v="7"/>
  </r>
  <r>
    <n v="28"/>
    <x v="1"/>
    <x v="27"/>
    <x v="8"/>
  </r>
  <r>
    <n v="29"/>
    <x v="1"/>
    <x v="28"/>
    <x v="9"/>
  </r>
  <r>
    <n v="30"/>
    <x v="1"/>
    <x v="29"/>
    <x v="10"/>
  </r>
  <r>
    <n v="31"/>
    <x v="1"/>
    <x v="30"/>
    <x v="11"/>
  </r>
  <r>
    <n v="32"/>
    <x v="1"/>
    <x v="31"/>
    <x v="12"/>
  </r>
  <r>
    <n v="33"/>
    <x v="2"/>
    <x v="32"/>
    <x v="3"/>
  </r>
  <r>
    <n v="34"/>
    <x v="2"/>
    <x v="33"/>
    <x v="10"/>
  </r>
  <r>
    <n v="35"/>
    <x v="2"/>
    <x v="34"/>
    <x v="5"/>
  </r>
  <r>
    <n v="36"/>
    <x v="2"/>
    <x v="35"/>
    <x v="13"/>
  </r>
  <r>
    <n v="37"/>
    <x v="2"/>
    <x v="36"/>
    <x v="8"/>
  </r>
  <r>
    <n v="38"/>
    <x v="2"/>
    <x v="37"/>
    <x v="14"/>
  </r>
  <r>
    <n v="39"/>
    <x v="3"/>
    <x v="38"/>
    <x v="15"/>
  </r>
  <r>
    <n v="40"/>
    <x v="3"/>
    <x v="39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69093-ED37-46FC-B83E-B5405D647D84}" name="Tabela dinâmica3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empo de Resolução">
  <location ref="B9:E16" firstHeaderRow="0" firstDataRow="1" firstDataCol="1"/>
  <pivotFields count="3">
    <pivotField showAll="0"/>
    <pivotField axis="axisRow" dataField="1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Simples" fld="1" subtotal="count" baseField="1" baseItem="0"/>
    <dataField name="Frequência Percentual" fld="1" subtotal="count" showDataAs="percentOfTotal" baseField="1" baseItem="0" numFmtId="10"/>
    <dataField name="Frequência Acumulada" fld="1" subtotal="count" showDataAs="runTotal" baseField="1" baseItem="1"/>
  </dataFields>
  <formats count="12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6">
            <x v="1"/>
            <x v="2"/>
            <x v="3"/>
            <x v="4"/>
            <x v="6"/>
            <x v="7"/>
          </reference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6">
            <x v="1"/>
            <x v="2"/>
            <x v="3"/>
            <x v="4"/>
            <x v="6"/>
            <x v="7"/>
          </reference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43E93-EED9-4798-A5C4-2C2977AE21F0}" name="Tabela dinâ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Tipo de Problema">
  <location ref="B2:E7" firstHeaderRow="0" firstDataRow="1" firstDataCol="1"/>
  <pivotFields count="3">
    <pivotField axis="axisRow" dataField="1" showAll="0">
      <items count="5">
        <item x="2"/>
        <item x="1"/>
        <item x="0"/>
        <item x="3"/>
        <item t="default"/>
      </items>
    </pivotField>
    <pivotField numFmtId="164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Simples" fld="0" subtotal="count" baseField="0" baseItem="0"/>
    <dataField name="Frequência Percentual" fld="0" subtotal="count" showDataAs="percentOfTotal" baseField="0" baseItem="0" numFmtId="10"/>
    <dataField name="Frequência Acumulada" fld="0" subtotal="count" showDataAs="runTotal" baseField="0" baseItem="0"/>
  </dataFields>
  <formats count="12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1D76C-8C54-4CFA-9B94-B5F570B945BE}" name="Tabela dinâmica3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istemas Afetados">
  <location ref="B18:E24" firstHeaderRow="0" firstDataRow="1" firstDataCol="1"/>
  <pivotFields count="3">
    <pivotField showAll="0"/>
    <pivotField numFmtId="164" showAll="0"/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6">
    <i>
      <x v="1"/>
    </i>
    <i>
      <x v="2"/>
    </i>
    <i>
      <x v="3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Simples" fld="2" subtotal="count" baseField="2" baseItem="0"/>
    <dataField name="Frequência Percentual" fld="2" showDataAs="percentOfTotal" baseField="2" baseItem="0" numFmtId="10"/>
    <dataField name="Frequência Acumulada" fld="2" subtotal="count" showDataAs="runTotal" baseField="2" baseItem="1"/>
  </dataFields>
  <formats count="12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2" type="button" dataOnly="0" labelOnly="1" outline="0" axis="axisRow" fieldPosition="0"/>
    </format>
    <format dxfId="86">
      <pivotArea dataOnly="0" labelOnly="1" fieldPosition="0">
        <references count="1">
          <reference field="2" count="5">
            <x v="1"/>
            <x v="2"/>
            <x v="3"/>
            <x v="5"/>
            <x v="6"/>
          </reference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2" type="button" dataOnly="0" labelOnly="1" outline="0" axis="axisRow" fieldPosition="0"/>
    </format>
    <format dxfId="80">
      <pivotArea dataOnly="0" labelOnly="1" fieldPosition="0">
        <references count="1">
          <reference field="2" count="5">
            <x v="1"/>
            <x v="2"/>
            <x v="3"/>
            <x v="5"/>
            <x v="6"/>
          </reference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5A813-2297-469F-9756-C68FA2FAFD39}" name="Tabela dinâmica7" cacheId="3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Sistemas Afetados" colHeaderCaption="Tempo de Resolução">
  <location ref="A18:E24" firstHeaderRow="1" firstDataRow="2" firstDataCol="1"/>
  <pivotFields count="4">
    <pivotField showAll="0"/>
    <pivotField showAll="0">
      <items count="5">
        <item x="2"/>
        <item x="1"/>
        <item x="0"/>
        <item x="3"/>
        <item t="default"/>
      </items>
    </pivotField>
    <pivotField axis="axisCol" numFmtId="164" showAll="0">
      <items count="7">
        <item x="0"/>
        <item x="1"/>
        <item x="2"/>
        <item x="3"/>
        <item x="4"/>
        <item x="5"/>
        <item t="default"/>
      </items>
    </pivotField>
    <pivotField axis="axisRow"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 v="1"/>
    </i>
    <i>
      <x v="2"/>
    </i>
    <i>
      <x v="3"/>
    </i>
    <i>
      <x v="4"/>
    </i>
  </colItems>
  <dataFields count="1">
    <dataField name="Média de Sistemas Afetados" fld="3" subtotal="average" baseField="3" baseItem="0"/>
  </dataFields>
  <formats count="24">
    <format dxfId="23">
      <pivotArea grandRow="1" outline="0" collapsedLevelsAreSubtotals="1" fieldPosition="0"/>
    </format>
    <format dxfId="22">
      <pivotArea type="all" dataOnly="0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dataOnly="0" labelOnly="1" outline="0" axis="axisValues" fieldPosition="0"/>
    </format>
    <format dxfId="18">
      <pivotArea collapsedLevelsAreSubtotals="1" fieldPosition="0">
        <references count="1">
          <reference field="3" count="2">
            <x v="1"/>
            <x v="2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2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4">
            <x v="1"/>
            <x v="2"/>
            <x v="3"/>
            <x v="4"/>
          </reference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2" count="4">
            <x v="1"/>
            <x v="2"/>
            <x v="3"/>
            <x v="4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4">
            <x v="1"/>
            <x v="2"/>
            <x v="3"/>
            <x v="4"/>
          </reference>
        </references>
      </pivotArea>
    </format>
    <format dxfId="1">
      <pivotArea dataOnly="0" labelOnly="1" grandRow="1" outline="0" fieldPosition="0"/>
    </format>
    <format dxfId="0">
      <pivotArea dataOnly="0" labelOnly="1" fieldPosition="0">
        <references count="1">
          <reference field="2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34750-A5B6-4ED5-BF40-6AB056730674}" name="Tabela dinâmica3" cacheId="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Sistemas Afetados">
  <location ref="A10:E16" firstHeaderRow="1" firstDataRow="2" firstDataCol="1"/>
  <pivotFields count="4">
    <pivotField showAll="0"/>
    <pivotField axis="axisCol" showAll="0">
      <items count="5">
        <item x="2"/>
        <item x="1"/>
        <item x="0"/>
        <item x="3"/>
        <item t="default"/>
      </items>
    </pivotField>
    <pivotField numFmtId="164" showAll="0"/>
    <pivotField axis="axisRow"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Média de Sistemas Afetados" fld="3" subtotal="average" baseField="3" baseItem="0"/>
  </dataFields>
  <formats count="4">
    <format dxfId="27">
      <pivotArea collapsedLevelsAreSubtotals="1" fieldPosition="0">
        <references count="1">
          <reference field="3" count="2">
            <x v="1"/>
            <x v="2"/>
          </reference>
        </references>
      </pivotArea>
    </format>
    <format dxfId="26">
      <pivotArea grandRow="1" outline="0" collapsedLevelsAreSubtotals="1" fieldPosition="0"/>
    </format>
    <format dxfId="25">
      <pivotArea type="all" dataOnly="0" outline="0" fieldPosition="0"/>
    </format>
    <format dxfId="2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434DC-65F9-4D6F-8D32-3B6C6BD63910}" name="Tabela dinâmica6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Tempo de Resolução">
  <location ref="A2:E8" firstHeaderRow="1" firstDataRow="2" firstDataCol="1"/>
  <pivotFields count="4"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dataField="1" numFmtId="164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Média de Tempo de Resolução (h)" fld="2" subtotal="average" baseField="2" baseItem="0"/>
  </dataFields>
  <formats count="26">
    <format dxfId="53">
      <pivotArea type="all" dataOnly="0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dataOnly="0" labelOnly="1" outline="0" axis="axisValues" fieldPosition="0"/>
    </format>
    <format dxfId="49">
      <pivotArea collapsedLevelsAreSubtotals="1" fieldPosition="0">
        <references count="1">
          <reference field="2" count="2">
            <x v="1"/>
            <x v="2"/>
          </reference>
        </references>
      </pivotArea>
    </format>
    <format dxfId="48">
      <pivotArea grandRow="1" outline="0" collapsedLevelsAreSubtotals="1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4">
            <x v="1"/>
            <x v="2"/>
            <x v="3"/>
            <x v="4"/>
          </reference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Col="1" outline="0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1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4">
            <x v="1"/>
            <x v="2"/>
            <x v="3"/>
            <x v="4"/>
          </reference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A14" workbookViewId="0">
      <selection activeCell="S39" sqref="S39"/>
    </sheetView>
  </sheetViews>
  <sheetFormatPr defaultRowHeight="15" x14ac:dyDescent="0.25"/>
  <cols>
    <col min="1" max="1" width="8" customWidth="1"/>
    <col min="2" max="2" width="26" customWidth="1"/>
    <col min="3" max="3" width="24" customWidth="1"/>
    <col min="4" max="4" width="20" customWidth="1"/>
    <col min="7" max="7" width="18.28515625" customWidth="1"/>
    <col min="8" max="8" width="16.140625" customWidth="1"/>
    <col min="10" max="10" width="22.8554687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4">
        <v>1.3</v>
      </c>
      <c r="D2" s="2">
        <v>1</v>
      </c>
    </row>
    <row r="3" spans="1:4" x14ac:dyDescent="0.25">
      <c r="A3" s="5">
        <v>2</v>
      </c>
      <c r="B3" s="6" t="s">
        <v>4</v>
      </c>
      <c r="C3" s="7">
        <v>2.7</v>
      </c>
      <c r="D3" s="5">
        <v>2</v>
      </c>
    </row>
    <row r="4" spans="1:4" x14ac:dyDescent="0.25">
      <c r="A4" s="2">
        <v>3</v>
      </c>
      <c r="B4" s="3" t="s">
        <v>4</v>
      </c>
      <c r="C4" s="4">
        <v>1.8</v>
      </c>
      <c r="D4" s="2">
        <v>1</v>
      </c>
    </row>
    <row r="5" spans="1:4" x14ac:dyDescent="0.25">
      <c r="A5" s="5">
        <v>4</v>
      </c>
      <c r="B5" s="6" t="s">
        <v>4</v>
      </c>
      <c r="C5" s="7">
        <v>3.4</v>
      </c>
      <c r="D5" s="5">
        <v>3</v>
      </c>
    </row>
    <row r="6" spans="1:4" x14ac:dyDescent="0.25">
      <c r="A6" s="2">
        <v>5</v>
      </c>
      <c r="B6" s="3" t="s">
        <v>4</v>
      </c>
      <c r="C6" s="4">
        <v>1</v>
      </c>
      <c r="D6" s="2">
        <v>1</v>
      </c>
    </row>
    <row r="7" spans="1:4" x14ac:dyDescent="0.25">
      <c r="A7" s="5">
        <v>6</v>
      </c>
      <c r="B7" s="6" t="s">
        <v>4</v>
      </c>
      <c r="C7" s="7">
        <v>4.2</v>
      </c>
      <c r="D7" s="5">
        <v>4</v>
      </c>
    </row>
    <row r="8" spans="1:4" x14ac:dyDescent="0.25">
      <c r="A8" s="2">
        <v>7</v>
      </c>
      <c r="B8" s="3" t="s">
        <v>4</v>
      </c>
      <c r="C8" s="4">
        <v>2.1</v>
      </c>
      <c r="D8" s="2">
        <v>2</v>
      </c>
    </row>
    <row r="9" spans="1:4" x14ac:dyDescent="0.25">
      <c r="A9" s="5">
        <v>8</v>
      </c>
      <c r="B9" s="6" t="s">
        <v>4</v>
      </c>
      <c r="C9" s="7">
        <v>5.8</v>
      </c>
      <c r="D9" s="5">
        <v>5</v>
      </c>
    </row>
    <row r="10" spans="1:4" x14ac:dyDescent="0.25">
      <c r="A10" s="2">
        <v>9</v>
      </c>
      <c r="B10" s="3" t="s">
        <v>4</v>
      </c>
      <c r="C10" s="4">
        <v>1.6</v>
      </c>
      <c r="D10" s="2">
        <v>1</v>
      </c>
    </row>
    <row r="11" spans="1:4" x14ac:dyDescent="0.25">
      <c r="A11" s="5">
        <v>10</v>
      </c>
      <c r="B11" s="6" t="s">
        <v>4</v>
      </c>
      <c r="C11" s="7">
        <v>3.1</v>
      </c>
      <c r="D11" s="5">
        <v>3</v>
      </c>
    </row>
    <row r="12" spans="1:4" x14ac:dyDescent="0.25">
      <c r="A12" s="2">
        <v>11</v>
      </c>
      <c r="B12" s="3" t="s">
        <v>4</v>
      </c>
      <c r="C12" s="4">
        <v>2.4</v>
      </c>
      <c r="D12" s="2">
        <v>2</v>
      </c>
    </row>
    <row r="13" spans="1:4" x14ac:dyDescent="0.25">
      <c r="A13" s="5">
        <v>12</v>
      </c>
      <c r="B13" s="6" t="s">
        <v>4</v>
      </c>
      <c r="C13" s="7">
        <v>1.9</v>
      </c>
      <c r="D13" s="5">
        <v>2</v>
      </c>
    </row>
    <row r="14" spans="1:4" x14ac:dyDescent="0.25">
      <c r="A14" s="2">
        <v>13</v>
      </c>
      <c r="B14" s="3" t="s">
        <v>4</v>
      </c>
      <c r="C14" s="4">
        <v>4.7</v>
      </c>
      <c r="D14" s="2">
        <v>4</v>
      </c>
    </row>
    <row r="15" spans="1:4" x14ac:dyDescent="0.25">
      <c r="A15" s="5">
        <v>14</v>
      </c>
      <c r="B15" s="6" t="s">
        <v>4</v>
      </c>
      <c r="C15" s="7">
        <v>2.2999999999999998</v>
      </c>
      <c r="D15" s="5">
        <v>2</v>
      </c>
    </row>
    <row r="16" spans="1:4" x14ac:dyDescent="0.25">
      <c r="A16" s="2">
        <v>15</v>
      </c>
      <c r="B16" s="3" t="s">
        <v>4</v>
      </c>
      <c r="C16" s="4">
        <v>1.4</v>
      </c>
      <c r="D16" s="2">
        <v>1</v>
      </c>
    </row>
    <row r="17" spans="1:4" x14ac:dyDescent="0.25">
      <c r="A17" s="5">
        <v>16</v>
      </c>
      <c r="B17" s="6" t="s">
        <v>4</v>
      </c>
      <c r="C17" s="7">
        <v>3.8</v>
      </c>
      <c r="D17" s="5">
        <v>3</v>
      </c>
    </row>
    <row r="18" spans="1:4" x14ac:dyDescent="0.25">
      <c r="A18" s="2">
        <v>17</v>
      </c>
      <c r="B18" s="3" t="s">
        <v>4</v>
      </c>
      <c r="C18" s="4">
        <v>5.2</v>
      </c>
      <c r="D18" s="2">
        <v>5</v>
      </c>
    </row>
    <row r="19" spans="1:4" x14ac:dyDescent="0.25">
      <c r="A19" s="5">
        <v>18</v>
      </c>
      <c r="B19" s="6" t="s">
        <v>4</v>
      </c>
      <c r="C19" s="7">
        <v>2.8</v>
      </c>
      <c r="D19" s="5">
        <v>3</v>
      </c>
    </row>
    <row r="20" spans="1:4" x14ac:dyDescent="0.25">
      <c r="A20" s="2">
        <v>19</v>
      </c>
      <c r="B20" s="3" t="s">
        <v>4</v>
      </c>
      <c r="C20" s="4">
        <v>1.7</v>
      </c>
      <c r="D20" s="2">
        <v>1</v>
      </c>
    </row>
    <row r="21" spans="1:4" x14ac:dyDescent="0.25">
      <c r="A21" s="5">
        <v>20</v>
      </c>
      <c r="B21" s="6" t="s">
        <v>4</v>
      </c>
      <c r="C21" s="7">
        <v>6.1</v>
      </c>
      <c r="D21" s="5">
        <v>6</v>
      </c>
    </row>
    <row r="22" spans="1:4" x14ac:dyDescent="0.25">
      <c r="A22" s="2">
        <v>21</v>
      </c>
      <c r="B22" s="3" t="s">
        <v>4</v>
      </c>
      <c r="C22" s="4">
        <v>2.2000000000000002</v>
      </c>
      <c r="D22" s="2">
        <v>2</v>
      </c>
    </row>
    <row r="23" spans="1:4" x14ac:dyDescent="0.25">
      <c r="A23" s="5">
        <v>22</v>
      </c>
      <c r="B23" s="6" t="s">
        <v>4</v>
      </c>
      <c r="C23" s="7">
        <v>3.6</v>
      </c>
      <c r="D23" s="5">
        <v>3</v>
      </c>
    </row>
    <row r="24" spans="1:4" x14ac:dyDescent="0.25">
      <c r="A24" s="2">
        <v>23</v>
      </c>
      <c r="B24" s="3" t="s">
        <v>4</v>
      </c>
      <c r="C24" s="4">
        <v>4.0999999999999996</v>
      </c>
      <c r="D24" s="2">
        <v>4</v>
      </c>
    </row>
    <row r="25" spans="1:4" x14ac:dyDescent="0.25">
      <c r="A25" s="8">
        <v>24</v>
      </c>
      <c r="B25" s="9" t="s">
        <v>5</v>
      </c>
      <c r="C25" s="10">
        <v>7.3</v>
      </c>
      <c r="D25" s="8">
        <v>6</v>
      </c>
    </row>
    <row r="26" spans="1:4" x14ac:dyDescent="0.25">
      <c r="A26" s="11">
        <v>25</v>
      </c>
      <c r="B26" s="12" t="s">
        <v>5</v>
      </c>
      <c r="C26" s="13">
        <v>14.5</v>
      </c>
      <c r="D26" s="11">
        <v>12</v>
      </c>
    </row>
    <row r="27" spans="1:4" x14ac:dyDescent="0.25">
      <c r="A27" s="8">
        <v>26</v>
      </c>
      <c r="B27" s="9" t="s">
        <v>5</v>
      </c>
      <c r="C27" s="10">
        <v>6.2</v>
      </c>
      <c r="D27" s="8">
        <v>5</v>
      </c>
    </row>
    <row r="28" spans="1:4" x14ac:dyDescent="0.25">
      <c r="A28" s="11">
        <v>27</v>
      </c>
      <c r="B28" s="12" t="s">
        <v>5</v>
      </c>
      <c r="C28" s="13">
        <v>22</v>
      </c>
      <c r="D28" s="11">
        <v>18</v>
      </c>
    </row>
    <row r="29" spans="1:4" x14ac:dyDescent="0.25">
      <c r="A29" s="8">
        <v>28</v>
      </c>
      <c r="B29" s="9" t="s">
        <v>5</v>
      </c>
      <c r="C29" s="10">
        <v>9.8000000000000007</v>
      </c>
      <c r="D29" s="8">
        <v>8</v>
      </c>
    </row>
    <row r="30" spans="1:4" x14ac:dyDescent="0.25">
      <c r="A30" s="11">
        <v>29</v>
      </c>
      <c r="B30" s="12" t="s">
        <v>5</v>
      </c>
      <c r="C30" s="13">
        <v>21.5</v>
      </c>
      <c r="D30" s="11">
        <v>17</v>
      </c>
    </row>
    <row r="31" spans="1:4" x14ac:dyDescent="0.25">
      <c r="A31" s="8">
        <v>30</v>
      </c>
      <c r="B31" s="9" t="s">
        <v>5</v>
      </c>
      <c r="C31" s="10">
        <v>11.4</v>
      </c>
      <c r="D31" s="8">
        <v>10</v>
      </c>
    </row>
    <row r="32" spans="1:4" x14ac:dyDescent="0.25">
      <c r="A32" s="11">
        <v>31</v>
      </c>
      <c r="B32" s="12" t="s">
        <v>5</v>
      </c>
      <c r="C32" s="13">
        <v>17.2</v>
      </c>
      <c r="D32" s="11">
        <v>14</v>
      </c>
    </row>
    <row r="33" spans="1:12" x14ac:dyDescent="0.25">
      <c r="A33" s="8">
        <v>32</v>
      </c>
      <c r="B33" s="9" t="s">
        <v>5</v>
      </c>
      <c r="C33" s="10">
        <v>8.6</v>
      </c>
      <c r="D33" s="8">
        <v>7</v>
      </c>
    </row>
    <row r="34" spans="1:12" x14ac:dyDescent="0.25">
      <c r="A34" s="14">
        <v>33</v>
      </c>
      <c r="B34" s="15" t="s">
        <v>6</v>
      </c>
      <c r="C34" s="16">
        <v>4.8</v>
      </c>
      <c r="D34" s="14">
        <v>4</v>
      </c>
    </row>
    <row r="35" spans="1:12" x14ac:dyDescent="0.25">
      <c r="A35" s="17">
        <v>34</v>
      </c>
      <c r="B35" s="18" t="s">
        <v>6</v>
      </c>
      <c r="C35" s="19">
        <v>12.3</v>
      </c>
      <c r="D35" s="17">
        <v>10</v>
      </c>
    </row>
    <row r="36" spans="1:12" x14ac:dyDescent="0.25">
      <c r="A36" s="14">
        <v>35</v>
      </c>
      <c r="B36" s="15" t="s">
        <v>6</v>
      </c>
      <c r="C36" s="16">
        <v>7.6</v>
      </c>
      <c r="D36" s="14">
        <v>6</v>
      </c>
    </row>
    <row r="37" spans="1:12" x14ac:dyDescent="0.25">
      <c r="A37" s="17">
        <v>36</v>
      </c>
      <c r="B37" s="18" t="s">
        <v>6</v>
      </c>
      <c r="C37" s="19">
        <v>19.399999999999999</v>
      </c>
      <c r="D37" s="17">
        <v>15</v>
      </c>
    </row>
    <row r="38" spans="1:12" ht="15.75" thickBot="1" x14ac:dyDescent="0.3">
      <c r="A38" s="14">
        <v>37</v>
      </c>
      <c r="B38" s="15" t="s">
        <v>6</v>
      </c>
      <c r="C38" s="16">
        <v>9.1</v>
      </c>
      <c r="D38" s="14">
        <v>8</v>
      </c>
    </row>
    <row r="39" spans="1:12" ht="16.5" thickTop="1" thickBot="1" x14ac:dyDescent="0.3">
      <c r="A39" s="17">
        <v>38</v>
      </c>
      <c r="B39" s="18" t="s">
        <v>6</v>
      </c>
      <c r="C39" s="19">
        <v>15.7</v>
      </c>
      <c r="D39" s="17">
        <v>13</v>
      </c>
      <c r="F39" s="46"/>
      <c r="G39" s="47" t="s">
        <v>14</v>
      </c>
      <c r="H39" s="47" t="s">
        <v>15</v>
      </c>
      <c r="J39" s="45" t="s">
        <v>1</v>
      </c>
      <c r="K39" s="62" t="s">
        <v>47</v>
      </c>
      <c r="L39" s="62"/>
    </row>
    <row r="40" spans="1:12" ht="16.5" thickTop="1" thickBot="1" x14ac:dyDescent="0.3">
      <c r="A40" s="20">
        <v>39</v>
      </c>
      <c r="B40" s="21" t="s">
        <v>7</v>
      </c>
      <c r="C40" s="22">
        <v>31.5</v>
      </c>
      <c r="D40" s="20">
        <v>28</v>
      </c>
      <c r="F40" s="48" t="s">
        <v>8</v>
      </c>
      <c r="G40" s="49">
        <f>AVERAGE(C2:C41)</f>
        <v>8.1325000000000003</v>
      </c>
      <c r="H40" s="49">
        <f>AVERAGE(D2:D41)</f>
        <v>6.875</v>
      </c>
      <c r="J40" s="45" t="s">
        <v>2</v>
      </c>
      <c r="K40" s="62" t="s">
        <v>48</v>
      </c>
      <c r="L40" s="62"/>
    </row>
    <row r="41" spans="1:12" ht="16.5" thickTop="1" thickBot="1" x14ac:dyDescent="0.3">
      <c r="A41" s="23">
        <v>40</v>
      </c>
      <c r="B41" s="24" t="s">
        <v>7</v>
      </c>
      <c r="C41" s="25">
        <v>37.200000000000003</v>
      </c>
      <c r="D41" s="23">
        <v>33</v>
      </c>
      <c r="F41" s="48" t="s">
        <v>9</v>
      </c>
      <c r="G41" s="50">
        <f>MEDIAN(C2:C41)</f>
        <v>4.75</v>
      </c>
      <c r="H41" s="51">
        <f>MEDIAN(D2:D41)</f>
        <v>4</v>
      </c>
      <c r="J41" s="45" t="s">
        <v>3</v>
      </c>
      <c r="K41" s="62" t="s">
        <v>49</v>
      </c>
      <c r="L41" s="62"/>
    </row>
    <row r="42" spans="1:12" ht="15.75" thickTop="1" x14ac:dyDescent="0.25">
      <c r="F42" s="48" t="s">
        <v>10</v>
      </c>
      <c r="G42" s="52" t="e" cm="1">
        <f t="array" ref="G42">_xlfn.MODE.MULT(C2:C41)</f>
        <v>#N/A</v>
      </c>
      <c r="H42" s="52" cm="1">
        <f t="array" ref="H42:H43">_xlfn.MODE.MULT(D2:D41)</f>
        <v>1</v>
      </c>
    </row>
    <row r="43" spans="1:12" x14ac:dyDescent="0.25">
      <c r="F43" s="46"/>
      <c r="G43" s="53"/>
      <c r="H43" s="52">
        <v>2</v>
      </c>
    </row>
    <row r="44" spans="1:12" x14ac:dyDescent="0.25">
      <c r="F44" s="48" t="s">
        <v>11</v>
      </c>
      <c r="G44" s="54">
        <f>_xlfn.VAR.S(C2:C41)</f>
        <v>70.967891025641009</v>
      </c>
      <c r="H44" s="55">
        <f>_xlfn.VAR.S(D2:D41)</f>
        <v>52.009615384615387</v>
      </c>
    </row>
    <row r="45" spans="1:12" x14ac:dyDescent="0.25">
      <c r="F45" s="48" t="s">
        <v>12</v>
      </c>
      <c r="G45" s="56">
        <f>_xlfn.STDEV.S(C2:C41)</f>
        <v>8.4242442406212916</v>
      </c>
      <c r="H45" s="56">
        <f>_xlfn.STDEV.S(D2:D41)</f>
        <v>7.211769227077041</v>
      </c>
    </row>
    <row r="46" spans="1:12" x14ac:dyDescent="0.25">
      <c r="F46" s="48" t="s">
        <v>13</v>
      </c>
      <c r="G46" s="54">
        <f>(G45/G40)</f>
        <v>1.0358738691203555</v>
      </c>
      <c r="H46" s="54">
        <f>(H45/H40)</f>
        <v>1.0489846148475697</v>
      </c>
    </row>
  </sheetData>
  <mergeCells count="3">
    <mergeCell ref="K41:L41"/>
    <mergeCell ref="K39:L39"/>
    <mergeCell ref="K40:L4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F3E9-C1F7-4709-A984-D6A7D312BE49}">
  <dimension ref="B2:L24"/>
  <sheetViews>
    <sheetView workbookViewId="0">
      <selection activeCell="S11" sqref="S11"/>
    </sheetView>
  </sheetViews>
  <sheetFormatPr defaultRowHeight="15" x14ac:dyDescent="0.25"/>
  <cols>
    <col min="2" max="2" width="22.140625" bestFit="1" customWidth="1"/>
    <col min="3" max="3" width="18.5703125" bestFit="1" customWidth="1"/>
    <col min="4" max="4" width="21.140625" bestFit="1" customWidth="1"/>
    <col min="5" max="5" width="21.5703125" bestFit="1" customWidth="1"/>
  </cols>
  <sheetData>
    <row r="2" spans="2:12" x14ac:dyDescent="0.25">
      <c r="B2" s="57" t="s">
        <v>41</v>
      </c>
      <c r="C2" s="46" t="s">
        <v>30</v>
      </c>
      <c r="D2" s="46" t="s">
        <v>32</v>
      </c>
      <c r="E2" s="46" t="s">
        <v>33</v>
      </c>
    </row>
    <row r="3" spans="2:12" x14ac:dyDescent="0.25">
      <c r="B3" s="46" t="s">
        <v>6</v>
      </c>
      <c r="C3" s="59">
        <v>6</v>
      </c>
      <c r="D3" s="61">
        <v>0.15</v>
      </c>
      <c r="E3" s="59">
        <v>6</v>
      </c>
      <c r="G3" s="42" t="s">
        <v>6</v>
      </c>
      <c r="H3" s="43">
        <v>6</v>
      </c>
      <c r="K3" s="44" t="s">
        <v>35</v>
      </c>
      <c r="L3" s="43">
        <v>25</v>
      </c>
    </row>
    <row r="4" spans="2:12" x14ac:dyDescent="0.25">
      <c r="B4" s="46" t="s">
        <v>5</v>
      </c>
      <c r="C4" s="59">
        <v>9</v>
      </c>
      <c r="D4" s="61">
        <v>0.22500000000000001</v>
      </c>
      <c r="E4" s="59">
        <v>15</v>
      </c>
      <c r="G4" s="42" t="s">
        <v>5</v>
      </c>
      <c r="H4" s="43">
        <v>9</v>
      </c>
      <c r="K4" s="44" t="s">
        <v>42</v>
      </c>
      <c r="L4" s="43">
        <v>7</v>
      </c>
    </row>
    <row r="5" spans="2:12" x14ac:dyDescent="0.25">
      <c r="B5" s="46" t="s">
        <v>4</v>
      </c>
      <c r="C5" s="59">
        <v>23</v>
      </c>
      <c r="D5" s="61">
        <v>0.57499999999999996</v>
      </c>
      <c r="E5" s="59">
        <v>38</v>
      </c>
      <c r="G5" s="42" t="s">
        <v>4</v>
      </c>
      <c r="H5" s="43">
        <v>23</v>
      </c>
      <c r="K5" s="44" t="s">
        <v>43</v>
      </c>
      <c r="L5" s="43">
        <v>3</v>
      </c>
    </row>
    <row r="6" spans="2:12" x14ac:dyDescent="0.25">
      <c r="B6" s="46" t="s">
        <v>7</v>
      </c>
      <c r="C6" s="59">
        <v>2</v>
      </c>
      <c r="D6" s="61">
        <v>0.05</v>
      </c>
      <c r="E6" s="59">
        <v>40</v>
      </c>
      <c r="G6" s="42" t="s">
        <v>7</v>
      </c>
      <c r="H6" s="43">
        <v>2</v>
      </c>
      <c r="K6" s="44" t="s">
        <v>44</v>
      </c>
      <c r="L6" s="43">
        <v>3</v>
      </c>
    </row>
    <row r="7" spans="2:12" x14ac:dyDescent="0.25">
      <c r="B7" s="46" t="s">
        <v>29</v>
      </c>
      <c r="C7" s="59">
        <v>40</v>
      </c>
      <c r="D7" s="61">
        <v>1</v>
      </c>
      <c r="E7" s="59"/>
      <c r="K7" s="44" t="s">
        <v>45</v>
      </c>
      <c r="L7" s="43">
        <v>1</v>
      </c>
    </row>
    <row r="8" spans="2:12" x14ac:dyDescent="0.25">
      <c r="B8" s="46"/>
      <c r="C8" s="46"/>
      <c r="D8" s="46"/>
      <c r="E8" s="46"/>
      <c r="K8" s="44" t="s">
        <v>46</v>
      </c>
      <c r="L8" s="43">
        <v>1</v>
      </c>
    </row>
    <row r="9" spans="2:12" x14ac:dyDescent="0.25">
      <c r="B9" s="57" t="s">
        <v>34</v>
      </c>
      <c r="C9" s="46" t="s">
        <v>30</v>
      </c>
      <c r="D9" s="46" t="s">
        <v>32</v>
      </c>
      <c r="E9" s="46" t="s">
        <v>33</v>
      </c>
    </row>
    <row r="10" spans="2:12" x14ac:dyDescent="0.25">
      <c r="B10" s="58" t="s">
        <v>35</v>
      </c>
      <c r="C10" s="59">
        <v>25</v>
      </c>
      <c r="D10" s="61">
        <v>0.625</v>
      </c>
      <c r="E10" s="59">
        <v>25</v>
      </c>
    </row>
    <row r="11" spans="2:12" x14ac:dyDescent="0.25">
      <c r="B11" s="58" t="s">
        <v>42</v>
      </c>
      <c r="C11" s="59">
        <v>7</v>
      </c>
      <c r="D11" s="61">
        <v>0.17499999999999999</v>
      </c>
      <c r="E11" s="59">
        <v>32</v>
      </c>
    </row>
    <row r="12" spans="2:12" x14ac:dyDescent="0.25">
      <c r="B12" s="58" t="s">
        <v>43</v>
      </c>
      <c r="C12" s="59">
        <v>3</v>
      </c>
      <c r="D12" s="61">
        <v>7.4999999999999997E-2</v>
      </c>
      <c r="E12" s="59">
        <v>35</v>
      </c>
    </row>
    <row r="13" spans="2:12" x14ac:dyDescent="0.25">
      <c r="B13" s="58" t="s">
        <v>44</v>
      </c>
      <c r="C13" s="59">
        <v>3</v>
      </c>
      <c r="D13" s="61">
        <v>7.4999999999999997E-2</v>
      </c>
      <c r="E13" s="59">
        <v>38</v>
      </c>
    </row>
    <row r="14" spans="2:12" x14ac:dyDescent="0.25">
      <c r="B14" s="58" t="s">
        <v>45</v>
      </c>
      <c r="C14" s="59">
        <v>1</v>
      </c>
      <c r="D14" s="61">
        <v>2.5000000000000001E-2</v>
      </c>
      <c r="E14" s="59">
        <v>39</v>
      </c>
      <c r="G14" s="42" t="s">
        <v>36</v>
      </c>
      <c r="H14" s="43">
        <v>27</v>
      </c>
    </row>
    <row r="15" spans="2:12" x14ac:dyDescent="0.25">
      <c r="B15" s="58" t="s">
        <v>46</v>
      </c>
      <c r="C15" s="59">
        <v>1</v>
      </c>
      <c r="D15" s="61">
        <v>2.5000000000000001E-2</v>
      </c>
      <c r="E15" s="59">
        <v>40</v>
      </c>
      <c r="G15" s="42" t="s">
        <v>37</v>
      </c>
      <c r="H15" s="43">
        <v>6</v>
      </c>
    </row>
    <row r="16" spans="2:12" x14ac:dyDescent="0.25">
      <c r="B16" s="58" t="s">
        <v>29</v>
      </c>
      <c r="C16" s="59">
        <v>40</v>
      </c>
      <c r="D16" s="61">
        <v>1</v>
      </c>
      <c r="E16" s="59"/>
      <c r="G16" s="42" t="s">
        <v>38</v>
      </c>
      <c r="H16" s="43">
        <v>5</v>
      </c>
    </row>
    <row r="17" spans="2:8" x14ac:dyDescent="0.25">
      <c r="B17" s="46"/>
      <c r="C17" s="46"/>
      <c r="D17" s="46"/>
      <c r="E17" s="46"/>
      <c r="G17" s="42" t="s">
        <v>39</v>
      </c>
      <c r="H17" s="43">
        <v>1</v>
      </c>
    </row>
    <row r="18" spans="2:8" x14ac:dyDescent="0.25">
      <c r="B18" s="57" t="s">
        <v>3</v>
      </c>
      <c r="C18" s="46" t="s">
        <v>30</v>
      </c>
      <c r="D18" s="46" t="s">
        <v>32</v>
      </c>
      <c r="E18" s="46" t="s">
        <v>33</v>
      </c>
      <c r="G18" s="42" t="s">
        <v>40</v>
      </c>
      <c r="H18" s="43">
        <v>1</v>
      </c>
    </row>
    <row r="19" spans="2:8" x14ac:dyDescent="0.25">
      <c r="B19" s="46" t="s">
        <v>36</v>
      </c>
      <c r="C19" s="59">
        <v>27</v>
      </c>
      <c r="D19" s="61">
        <v>0.29818181818181816</v>
      </c>
      <c r="E19" s="59">
        <v>27</v>
      </c>
    </row>
    <row r="20" spans="2:8" x14ac:dyDescent="0.25">
      <c r="B20" s="46" t="s">
        <v>37</v>
      </c>
      <c r="C20" s="59">
        <v>6</v>
      </c>
      <c r="D20" s="61">
        <v>0.2</v>
      </c>
      <c r="E20" s="59">
        <v>33</v>
      </c>
    </row>
    <row r="21" spans="2:8" x14ac:dyDescent="0.25">
      <c r="B21" s="46" t="s">
        <v>38</v>
      </c>
      <c r="C21" s="59">
        <v>5</v>
      </c>
      <c r="D21" s="61">
        <v>0.28000000000000003</v>
      </c>
      <c r="E21" s="59">
        <v>38</v>
      </c>
    </row>
    <row r="22" spans="2:8" x14ac:dyDescent="0.25">
      <c r="B22" s="46" t="s">
        <v>39</v>
      </c>
      <c r="C22" s="59">
        <v>1</v>
      </c>
      <c r="D22" s="61">
        <v>0.10181818181818182</v>
      </c>
      <c r="E22" s="59">
        <v>39</v>
      </c>
    </row>
    <row r="23" spans="2:8" x14ac:dyDescent="0.25">
      <c r="B23" s="46" t="s">
        <v>40</v>
      </c>
      <c r="C23" s="59">
        <v>1</v>
      </c>
      <c r="D23" s="61">
        <v>0.12</v>
      </c>
      <c r="E23" s="59">
        <v>40</v>
      </c>
    </row>
    <row r="24" spans="2:8" x14ac:dyDescent="0.25">
      <c r="B24" s="46" t="s">
        <v>29</v>
      </c>
      <c r="C24" s="59">
        <v>40</v>
      </c>
      <c r="D24" s="61">
        <v>1</v>
      </c>
      <c r="E24" s="59"/>
    </row>
  </sheetData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CBAC-448C-4DF3-9C62-3174844BB057}">
  <dimension ref="B18:L22"/>
  <sheetViews>
    <sheetView workbookViewId="0">
      <selection activeCell="N12" sqref="N12"/>
    </sheetView>
  </sheetViews>
  <sheetFormatPr defaultRowHeight="15" x14ac:dyDescent="0.25"/>
  <sheetData>
    <row r="18" spans="2:12" x14ac:dyDescent="0.25">
      <c r="B18" s="32" t="s">
        <v>16</v>
      </c>
      <c r="C18" s="32">
        <v>1.1000000000000001</v>
      </c>
      <c r="E18" s="32" t="s">
        <v>21</v>
      </c>
      <c r="F18" s="32">
        <v>31.5</v>
      </c>
      <c r="H18" s="32" t="s">
        <v>16</v>
      </c>
      <c r="I18" s="32">
        <v>1</v>
      </c>
      <c r="K18" s="32" t="s">
        <v>21</v>
      </c>
      <c r="L18" s="32">
        <v>28</v>
      </c>
    </row>
    <row r="19" spans="2:12" x14ac:dyDescent="0.25">
      <c r="B19" s="27" t="s">
        <v>17</v>
      </c>
      <c r="C19" s="27">
        <v>2.2999999999999998</v>
      </c>
      <c r="E19" s="28" t="s">
        <v>23</v>
      </c>
      <c r="F19" s="31">
        <f>(F18-'Incidentes de Segurança'!G40)/'Incidentes de Segurança'!G45</f>
        <v>2.7738393299808504</v>
      </c>
      <c r="H19" s="27" t="s">
        <v>17</v>
      </c>
      <c r="I19" s="27">
        <v>2</v>
      </c>
      <c r="K19" s="28" t="s">
        <v>23</v>
      </c>
      <c r="L19" s="31">
        <f>(L18-'Incidentes de Segurança'!H40)/'Incidentes de Segurança'!H45</f>
        <v>2.9292395991658826</v>
      </c>
    </row>
    <row r="20" spans="2:12" x14ac:dyDescent="0.25">
      <c r="B20" s="33" t="s">
        <v>18</v>
      </c>
      <c r="C20" s="33">
        <v>4.8</v>
      </c>
      <c r="H20" s="33" t="s">
        <v>18</v>
      </c>
      <c r="I20" s="33">
        <v>4</v>
      </c>
    </row>
    <row r="21" spans="2:12" x14ac:dyDescent="0.25">
      <c r="B21" s="27" t="s">
        <v>19</v>
      </c>
      <c r="C21" s="27">
        <v>11</v>
      </c>
      <c r="E21" s="32" t="s">
        <v>22</v>
      </c>
      <c r="F21" s="32">
        <v>37.200000000000003</v>
      </c>
      <c r="H21" s="27" t="s">
        <v>19</v>
      </c>
      <c r="I21" s="27">
        <v>9.5</v>
      </c>
      <c r="K21" s="32" t="s">
        <v>22</v>
      </c>
      <c r="L21" s="32">
        <v>33</v>
      </c>
    </row>
    <row r="22" spans="2:12" x14ac:dyDescent="0.25">
      <c r="B22" s="34" t="s">
        <v>20</v>
      </c>
      <c r="C22" s="34">
        <v>22</v>
      </c>
      <c r="E22" s="28" t="s">
        <v>23</v>
      </c>
      <c r="F22" s="31">
        <f>(F21-'Incidentes de Segurança'!G40)/'Incidentes de Segurança'!G45</f>
        <v>3.4504578891288489</v>
      </c>
      <c r="H22" s="34" t="s">
        <v>20</v>
      </c>
      <c r="I22" s="34">
        <v>18</v>
      </c>
      <c r="K22" s="28" t="s">
        <v>23</v>
      </c>
      <c r="L22" s="31">
        <f>(L21-'Incidentes de Segurança'!H40)/'Incidentes de Segurança'!H45</f>
        <v>3.6225507468974527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5A8E-92DB-4F79-BD2D-B4F5B0ED551D}">
  <dimension ref="J2:N15"/>
  <sheetViews>
    <sheetView workbookViewId="0">
      <selection activeCell="H38" sqref="H38"/>
    </sheetView>
  </sheetViews>
  <sheetFormatPr defaultRowHeight="15" x14ac:dyDescent="0.25"/>
  <sheetData>
    <row r="2" spans="10:14" x14ac:dyDescent="0.25">
      <c r="J2" s="26">
        <f>CORREL('Incidentes de Segurança'!C2:C41,'Incidentes de Segurança'!D2:D41)</f>
        <v>0.99698994421115827</v>
      </c>
      <c r="K2" s="63" t="s">
        <v>24</v>
      </c>
      <c r="L2" s="64"/>
      <c r="M2" s="65"/>
    </row>
    <row r="4" spans="10:14" x14ac:dyDescent="0.25">
      <c r="J4" s="39" t="s">
        <v>25</v>
      </c>
      <c r="K4" s="35">
        <f>SLOPE('Incidentes de Segurança'!D2:D41,'Incidentes de Segurança'!C2:C41)</f>
        <v>0.853496313022023</v>
      </c>
      <c r="L4" s="36"/>
    </row>
    <row r="5" spans="10:14" x14ac:dyDescent="0.25">
      <c r="J5" s="40" t="s">
        <v>26</v>
      </c>
      <c r="K5" s="37">
        <f>INTERCEPT('Incidentes de Segurança'!D2:D41,'Incidentes de Segurança'!C2:C41)</f>
        <v>-6.6058765651602513E-2</v>
      </c>
      <c r="L5" s="29"/>
    </row>
    <row r="6" spans="10:14" x14ac:dyDescent="0.25">
      <c r="J6" s="41" t="s">
        <v>27</v>
      </c>
      <c r="K6" s="38" cm="1">
        <f t="array" ref="K6:L6">LINEST('Incidentes de Segurança'!D2:D41,'Incidentes de Segurança'!C2:C41)</f>
        <v>0.85349631302202289</v>
      </c>
      <c r="L6" s="30">
        <v>-6.6058765651601625E-2</v>
      </c>
    </row>
    <row r="7" spans="10:14" x14ac:dyDescent="0.25">
      <c r="J7" s="66" t="s">
        <v>28</v>
      </c>
      <c r="K7" s="67"/>
      <c r="L7" s="68"/>
    </row>
    <row r="9" spans="10:14" ht="14.45" customHeight="1" x14ac:dyDescent="0.25">
      <c r="J9" s="69" t="s">
        <v>31</v>
      </c>
      <c r="K9" s="70"/>
      <c r="L9" s="70"/>
      <c r="M9" s="70"/>
      <c r="N9" s="71"/>
    </row>
    <row r="10" spans="10:14" x14ac:dyDescent="0.25">
      <c r="J10" s="72"/>
      <c r="K10" s="73"/>
      <c r="L10" s="73"/>
      <c r="M10" s="73"/>
      <c r="N10" s="74"/>
    </row>
    <row r="11" spans="10:14" x14ac:dyDescent="0.25">
      <c r="J11" s="72"/>
      <c r="K11" s="73"/>
      <c r="L11" s="73"/>
      <c r="M11" s="73"/>
      <c r="N11" s="74"/>
    </row>
    <row r="12" spans="10:14" x14ac:dyDescent="0.25">
      <c r="J12" s="75"/>
      <c r="K12" s="76"/>
      <c r="L12" s="76"/>
      <c r="M12" s="76"/>
      <c r="N12" s="77"/>
    </row>
    <row r="15" spans="10:14" x14ac:dyDescent="0.25">
      <c r="J15" s="37"/>
    </row>
  </sheetData>
  <mergeCells count="3">
    <mergeCell ref="K2:M2"/>
    <mergeCell ref="J7:L7"/>
    <mergeCell ref="J9:N1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7421-9380-4C29-84B3-4A21365C2F7E}">
  <dimension ref="A2:H28"/>
  <sheetViews>
    <sheetView workbookViewId="0">
      <selection activeCell="J23" sqref="J23"/>
    </sheetView>
  </sheetViews>
  <sheetFormatPr defaultRowHeight="15" x14ac:dyDescent="0.25"/>
  <cols>
    <col min="1" max="1" width="33.140625" customWidth="1"/>
    <col min="2" max="2" width="21.85546875" bestFit="1" customWidth="1"/>
    <col min="3" max="3" width="9" customWidth="1"/>
    <col min="4" max="4" width="8.28515625" customWidth="1"/>
    <col min="5" max="5" width="23" customWidth="1"/>
    <col min="6" max="6" width="10.7109375" bestFit="1" customWidth="1"/>
  </cols>
  <sheetData>
    <row r="2" spans="1:5" x14ac:dyDescent="0.25">
      <c r="A2" s="57" t="s">
        <v>54</v>
      </c>
      <c r="B2" s="57" t="s">
        <v>55</v>
      </c>
      <c r="C2" s="46"/>
      <c r="D2" s="46"/>
      <c r="E2" s="46"/>
    </row>
    <row r="3" spans="1:5" x14ac:dyDescent="0.25">
      <c r="A3" s="57" t="s">
        <v>34</v>
      </c>
      <c r="B3" s="46" t="s">
        <v>6</v>
      </c>
      <c r="C3" s="46" t="s">
        <v>5</v>
      </c>
      <c r="D3" s="46" t="s">
        <v>4</v>
      </c>
      <c r="E3" s="46" t="s">
        <v>7</v>
      </c>
    </row>
    <row r="4" spans="1:5" x14ac:dyDescent="0.25">
      <c r="A4" s="58" t="s">
        <v>50</v>
      </c>
      <c r="B4" s="60">
        <v>7.166666666666667</v>
      </c>
      <c r="C4" s="60">
        <v>7.9749999999999996</v>
      </c>
      <c r="D4" s="60">
        <v>3.0086956521739125</v>
      </c>
      <c r="E4" s="60"/>
    </row>
    <row r="5" spans="1:5" x14ac:dyDescent="0.25">
      <c r="A5" s="58" t="s">
        <v>51</v>
      </c>
      <c r="B5" s="60">
        <v>15.799999999999999</v>
      </c>
      <c r="C5" s="60">
        <v>14.366666666666665</v>
      </c>
      <c r="D5" s="60"/>
      <c r="E5" s="60"/>
    </row>
    <row r="6" spans="1:5" x14ac:dyDescent="0.25">
      <c r="A6" s="58" t="s">
        <v>52</v>
      </c>
      <c r="B6" s="59"/>
      <c r="C6" s="59">
        <v>21.75</v>
      </c>
      <c r="D6" s="59"/>
      <c r="E6" s="59"/>
    </row>
    <row r="7" spans="1:5" x14ac:dyDescent="0.25">
      <c r="A7" s="58" t="s">
        <v>53</v>
      </c>
      <c r="B7" s="59"/>
      <c r="C7" s="59"/>
      <c r="D7" s="59"/>
      <c r="E7" s="59">
        <v>34.35</v>
      </c>
    </row>
    <row r="8" spans="1:5" x14ac:dyDescent="0.25">
      <c r="A8" s="58" t="s">
        <v>29</v>
      </c>
      <c r="B8" s="60">
        <v>11.483333333333333</v>
      </c>
      <c r="C8" s="60">
        <v>13.166666666666666</v>
      </c>
      <c r="D8" s="60">
        <v>3.0086956521739125</v>
      </c>
      <c r="E8" s="60">
        <v>34.35</v>
      </c>
    </row>
    <row r="10" spans="1:5" x14ac:dyDescent="0.25">
      <c r="A10" s="57" t="s">
        <v>56</v>
      </c>
      <c r="B10" s="57" t="s">
        <v>55</v>
      </c>
      <c r="C10" s="46"/>
      <c r="D10" s="46"/>
      <c r="E10" s="46"/>
    </row>
    <row r="11" spans="1:5" x14ac:dyDescent="0.25">
      <c r="A11" s="57" t="s">
        <v>3</v>
      </c>
      <c r="B11" s="46" t="s">
        <v>6</v>
      </c>
      <c r="C11" s="46" t="s">
        <v>5</v>
      </c>
      <c r="D11" s="46" t="s">
        <v>4</v>
      </c>
      <c r="E11" s="46" t="s">
        <v>7</v>
      </c>
    </row>
    <row r="12" spans="1:5" x14ac:dyDescent="0.25">
      <c r="A12" s="46" t="s">
        <v>57</v>
      </c>
      <c r="B12" s="60">
        <v>7</v>
      </c>
      <c r="C12" s="60">
        <v>7.2</v>
      </c>
      <c r="D12" s="60">
        <v>2.652173913043478</v>
      </c>
      <c r="E12" s="60"/>
    </row>
    <row r="13" spans="1:5" x14ac:dyDescent="0.25">
      <c r="A13" s="46" t="s">
        <v>58</v>
      </c>
      <c r="B13" s="60">
        <v>14</v>
      </c>
      <c r="C13" s="60">
        <v>15.25</v>
      </c>
      <c r="D13" s="60"/>
      <c r="E13" s="60"/>
    </row>
    <row r="14" spans="1:5" x14ac:dyDescent="0.25">
      <c r="A14" s="46" t="s">
        <v>59</v>
      </c>
      <c r="B14" s="59"/>
      <c r="C14" s="59"/>
      <c r="D14" s="59"/>
      <c r="E14" s="59">
        <v>28</v>
      </c>
    </row>
    <row r="15" spans="1:5" x14ac:dyDescent="0.25">
      <c r="A15" s="46" t="s">
        <v>60</v>
      </c>
      <c r="B15" s="59"/>
      <c r="C15" s="59"/>
      <c r="D15" s="59"/>
      <c r="E15" s="59">
        <v>33</v>
      </c>
    </row>
    <row r="16" spans="1:5" x14ac:dyDescent="0.25">
      <c r="A16" s="46" t="s">
        <v>29</v>
      </c>
      <c r="B16" s="60">
        <v>9.3333333333333339</v>
      </c>
      <c r="C16" s="60">
        <v>10.777777777777779</v>
      </c>
      <c r="D16" s="60">
        <v>2.652173913043478</v>
      </c>
      <c r="E16" s="60">
        <v>30.5</v>
      </c>
    </row>
    <row r="17" spans="1:8" x14ac:dyDescent="0.25">
      <c r="A17" s="46"/>
      <c r="B17" s="46"/>
      <c r="C17" s="46"/>
      <c r="D17" s="46"/>
      <c r="E17" s="46"/>
    </row>
    <row r="18" spans="1:8" x14ac:dyDescent="0.25">
      <c r="A18" s="57" t="s">
        <v>56</v>
      </c>
      <c r="B18" s="57" t="s">
        <v>34</v>
      </c>
      <c r="C18" s="46"/>
      <c r="D18" s="46"/>
      <c r="E18" s="46"/>
      <c r="G18" s="46"/>
      <c r="H18" s="46"/>
    </row>
    <row r="19" spans="1:8" x14ac:dyDescent="0.25">
      <c r="A19" s="57" t="s">
        <v>3</v>
      </c>
      <c r="B19" s="58" t="s">
        <v>50</v>
      </c>
      <c r="C19" s="58" t="s">
        <v>51</v>
      </c>
      <c r="D19" s="58" t="s">
        <v>52</v>
      </c>
      <c r="E19" s="58" t="s">
        <v>53</v>
      </c>
      <c r="G19" s="46"/>
      <c r="H19" s="46"/>
    </row>
    <row r="20" spans="1:8" x14ac:dyDescent="0.25">
      <c r="A20" s="46" t="s">
        <v>57</v>
      </c>
      <c r="B20" s="60">
        <v>3.5</v>
      </c>
      <c r="C20" s="60">
        <v>10</v>
      </c>
      <c r="D20" s="60"/>
      <c r="E20" s="60"/>
      <c r="G20" s="46"/>
      <c r="H20" s="46"/>
    </row>
    <row r="21" spans="1:8" x14ac:dyDescent="0.25">
      <c r="A21" s="46" t="s">
        <v>58</v>
      </c>
      <c r="B21" s="60"/>
      <c r="C21" s="60">
        <v>13.5</v>
      </c>
      <c r="D21" s="60">
        <v>17.5</v>
      </c>
      <c r="E21" s="60"/>
      <c r="G21" s="46"/>
      <c r="H21" s="46"/>
    </row>
    <row r="22" spans="1:8" x14ac:dyDescent="0.25">
      <c r="A22" s="46" t="s">
        <v>59</v>
      </c>
      <c r="B22" s="59"/>
      <c r="C22" s="59"/>
      <c r="D22" s="59"/>
      <c r="E22" s="59">
        <v>28</v>
      </c>
      <c r="G22" s="46"/>
      <c r="H22" s="46"/>
    </row>
    <row r="23" spans="1:8" x14ac:dyDescent="0.25">
      <c r="A23" s="46" t="s">
        <v>60</v>
      </c>
      <c r="B23" s="59"/>
      <c r="C23" s="59"/>
      <c r="D23" s="59"/>
      <c r="E23" s="59">
        <v>33</v>
      </c>
      <c r="G23" s="46"/>
      <c r="H23" s="46"/>
    </row>
    <row r="24" spans="1:8" x14ac:dyDescent="0.25">
      <c r="A24" s="46" t="s">
        <v>29</v>
      </c>
      <c r="B24" s="60">
        <v>3.5</v>
      </c>
      <c r="C24" s="60">
        <v>12.333333333333334</v>
      </c>
      <c r="D24" s="60">
        <v>17.5</v>
      </c>
      <c r="E24" s="60">
        <v>30.5</v>
      </c>
      <c r="G24" s="46"/>
      <c r="H24" s="46"/>
    </row>
    <row r="25" spans="1:8" x14ac:dyDescent="0.25">
      <c r="D25" s="46"/>
      <c r="E25" s="46"/>
    </row>
    <row r="26" spans="1:8" x14ac:dyDescent="0.25">
      <c r="D26" s="46"/>
      <c r="E26" s="46"/>
    </row>
    <row r="27" spans="1:8" x14ac:dyDescent="0.25">
      <c r="D27" s="46"/>
      <c r="E27" s="46"/>
    </row>
    <row r="28" spans="1:8" x14ac:dyDescent="0.25">
      <c r="D28" s="46"/>
      <c r="E28" s="4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Incidentes de Segurança</vt:lpstr>
      <vt:lpstr>Gráficos</vt:lpstr>
      <vt:lpstr>BoxPlot</vt:lpstr>
      <vt:lpstr>Dispersão</vt:lpstr>
      <vt:lpstr>TI x TR, TI x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Elio Savoine</cp:lastModifiedBy>
  <dcterms:created xsi:type="dcterms:W3CDTF">2026-05-13T12:43:15Z</dcterms:created>
  <dcterms:modified xsi:type="dcterms:W3CDTF">2026-05-13T22:44:07Z</dcterms:modified>
</cp:coreProperties>
</file>