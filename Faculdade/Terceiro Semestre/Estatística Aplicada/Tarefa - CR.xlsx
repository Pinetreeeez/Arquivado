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102416F8-54A0-4D48-88CB-176B84F79C64}" xr6:coauthVersionLast="47" xr6:coauthVersionMax="47" xr10:uidLastSave="{00000000-0000-0000-0000-000000000000}"/>
  <bookViews>
    <workbookView xWindow="-110" yWindow="-110" windowWidth="19420" windowHeight="10420" firstSheet="1" activeTab="4" xr2:uid="{00000000-000D-0000-FFFF-FFFF00000000}"/>
  </bookViews>
  <sheets>
    <sheet name="Areá_Atuação" sheetId="2" r:id="rId1"/>
    <sheet name="Horas_Treinamento" sheetId="3" r:id="rId2"/>
    <sheet name="Tickets_Mês" sheetId="4" r:id="rId3"/>
    <sheet name="4 (a" sheetId="6" r:id="rId4"/>
    <sheet name="Conjunto de Dados" sheetId="1" r:id="rId5"/>
  </sheets>
  <definedNames>
    <definedName name="_xlchart.v1.0" hidden="1">Horas_Treinamento!$A$12:$A$15</definedName>
    <definedName name="_xlchart.v1.1" hidden="1">Horas_Treinamento!$B$11</definedName>
    <definedName name="_xlchart.v1.2" hidden="1">Horas_Treinamento!$B$12:$B$15</definedName>
    <definedName name="_xlchart.v1.3" hidden="1">'Conjunto de Dados'!$D$2:$D$51</definedName>
    <definedName name="_xlchart.v1.4" hidden="1">'Conjunto de Dados'!$C$2:$C$51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0" i="1" l="1" a="1"/>
  <c r="H90" i="1" s="1"/>
  <c r="M90" i="1" s="1"/>
  <c r="I87" i="1"/>
  <c r="U69" i="1"/>
  <c r="L57" i="1"/>
  <c r="L54" i="1"/>
  <c r="K57" i="1"/>
  <c r="J57" i="1"/>
  <c r="I57" i="1"/>
  <c r="H57" i="1" a="1"/>
  <c r="H57" i="1" s="1"/>
  <c r="G57" i="1"/>
  <c r="K54" i="1"/>
  <c r="J54" i="1"/>
  <c r="I54" i="1"/>
  <c r="H54" i="1" a="1"/>
  <c r="H54" i="1" s="1"/>
  <c r="G5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<sst xmlns="http://schemas.openxmlformats.org/spreadsheetml/2006/main" count="214" uniqueCount="113">
  <si>
    <t>ID</t>
  </si>
  <si>
    <t>Área_Atuação</t>
  </si>
  <si>
    <t>Tickets_Mês</t>
  </si>
  <si>
    <t>Horas_Treinamento</t>
  </si>
  <si>
    <t>1</t>
  </si>
  <si>
    <t>Suporte</t>
  </si>
  <si>
    <t>35</t>
  </si>
  <si>
    <t>2</t>
  </si>
  <si>
    <t>28</t>
  </si>
  <si>
    <t>3</t>
  </si>
  <si>
    <t>42</t>
  </si>
  <si>
    <t>4</t>
  </si>
  <si>
    <t>30</t>
  </si>
  <si>
    <t>5</t>
  </si>
  <si>
    <t>25</t>
  </si>
  <si>
    <t>6</t>
  </si>
  <si>
    <t>40</t>
  </si>
  <si>
    <t>7</t>
  </si>
  <si>
    <t>33</t>
  </si>
  <si>
    <t>8</t>
  </si>
  <si>
    <t>38</t>
  </si>
  <si>
    <t>9</t>
  </si>
  <si>
    <t>29</t>
  </si>
  <si>
    <t>10</t>
  </si>
  <si>
    <t>36</t>
  </si>
  <si>
    <t>11</t>
  </si>
  <si>
    <t>Desenvolvimento</t>
  </si>
  <si>
    <t>12</t>
  </si>
  <si>
    <t>15</t>
  </si>
  <si>
    <t>13</t>
  </si>
  <si>
    <t>14</t>
  </si>
  <si>
    <t>18</t>
  </si>
  <si>
    <t>16</t>
  </si>
  <si>
    <t>17</t>
  </si>
  <si>
    <t>19</t>
  </si>
  <si>
    <t>20</t>
  </si>
  <si>
    <t>21</t>
  </si>
  <si>
    <t>Dados</t>
  </si>
  <si>
    <t>22</t>
  </si>
  <si>
    <t>24</t>
  </si>
  <si>
    <t>23</t>
  </si>
  <si>
    <t>26</t>
  </si>
  <si>
    <t>27</t>
  </si>
  <si>
    <t>31</t>
  </si>
  <si>
    <t>Infraestrutura</t>
  </si>
  <si>
    <t>32</t>
  </si>
  <si>
    <t>34</t>
  </si>
  <si>
    <t>37</t>
  </si>
  <si>
    <t>39</t>
  </si>
  <si>
    <t>41</t>
  </si>
  <si>
    <t>43</t>
  </si>
  <si>
    <t>44</t>
  </si>
  <si>
    <t>45</t>
  </si>
  <si>
    <t>46</t>
  </si>
  <si>
    <t>47</t>
  </si>
  <si>
    <t>48</t>
  </si>
  <si>
    <t>49</t>
  </si>
  <si>
    <t>50</t>
  </si>
  <si>
    <t>Total Geral</t>
  </si>
  <si>
    <t>%</t>
  </si>
  <si>
    <t>fa</t>
  </si>
  <si>
    <t>fs</t>
  </si>
  <si>
    <t>Areá_Atuação</t>
  </si>
  <si>
    <t>5-15</t>
  </si>
  <si>
    <t>15-25</t>
  </si>
  <si>
    <t>25-35</t>
  </si>
  <si>
    <t>35-45</t>
  </si>
  <si>
    <t>14-23</t>
  </si>
  <si>
    <t>24-33</t>
  </si>
  <si>
    <t>34-43</t>
  </si>
  <si>
    <t>44-53</t>
  </si>
  <si>
    <t>54-63</t>
  </si>
  <si>
    <t>64-73</t>
  </si>
  <si>
    <t>Média</t>
  </si>
  <si>
    <t>Moda</t>
  </si>
  <si>
    <t>Mediana</t>
  </si>
  <si>
    <t>Variância</t>
  </si>
  <si>
    <t>Desv.Pad</t>
  </si>
  <si>
    <t>Horas_T</t>
  </si>
  <si>
    <t>Tickets_M</t>
  </si>
  <si>
    <t>Rótulos de Linha</t>
  </si>
  <si>
    <t>Rótulos de Coluna</t>
  </si>
  <si>
    <t>Média de Horas_Treinamento</t>
  </si>
  <si>
    <t>5-10</t>
  </si>
  <si>
    <t>10-15</t>
  </si>
  <si>
    <t>15-20</t>
  </si>
  <si>
    <t>20-25</t>
  </si>
  <si>
    <t>25-30</t>
  </si>
  <si>
    <t>30-35</t>
  </si>
  <si>
    <t>35-40</t>
  </si>
  <si>
    <t>Coef.Var</t>
  </si>
  <si>
    <t>Minimo</t>
  </si>
  <si>
    <t>Q1</t>
  </si>
  <si>
    <t>Q2</t>
  </si>
  <si>
    <t>Q3</t>
  </si>
  <si>
    <t>Maximo</t>
  </si>
  <si>
    <t>Outlier</t>
  </si>
  <si>
    <t>Coeficiente de Relação r</t>
  </si>
  <si>
    <t>Correlação linear positiva forte</t>
  </si>
  <si>
    <t>y</t>
  </si>
  <si>
    <t>a</t>
  </si>
  <si>
    <t>b</t>
  </si>
  <si>
    <t>x</t>
  </si>
  <si>
    <t>14-19</t>
  </si>
  <si>
    <t>26-31</t>
  </si>
  <si>
    <t>32-37</t>
  </si>
  <si>
    <t>38-43</t>
  </si>
  <si>
    <t>44-49</t>
  </si>
  <si>
    <t>50-55</t>
  </si>
  <si>
    <t>56-61</t>
  </si>
  <si>
    <t>62-67</t>
  </si>
  <si>
    <t>68-73</t>
  </si>
  <si>
    <t>Média de Tickets_Mês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</si>
</sst>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double">
        <color theme="6" tint="-0.249977111117893"/>
      </top>
      <bottom/>
      <diagonal/>
    </border>
    <border>
      <left/>
      <right/>
      <top/>
      <bottom style="thin">
        <color theme="6" tint="0.59999389629810485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7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31">
    <dxf>
      <numFmt numFmtId="2" formatCode="0.00"/>
    </dxf>
    <dxf>
      <numFmt numFmtId="164" formatCode="0.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2" formatCode="0.00"/>
    </dxf>
    <dxf>
      <numFmt numFmtId="164" formatCode="0.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2" formatCode="0.00"/>
    </dxf>
    <dxf>
      <numFmt numFmtId="164" formatCode="0.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2" formatCode="0.00"/>
    </dxf>
    <dxf>
      <numFmt numFmtId="164" formatCode="0.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2" formatCode="0.00"/>
    </dxf>
    <dxf>
      <numFmt numFmtId="164" formatCode="0.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2" formatCode="0.00"/>
    </dxf>
    <dxf>
      <numFmt numFmtId="164" formatCode="0.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2" formatCode="0.00"/>
    </dxf>
    <dxf>
      <numFmt numFmtId="164" formatCode="0.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Areá de Atuação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Areá_Atuação!$B$11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Areá_Atuação!$A$12:$A$15</c:f>
              <c:strCache>
                <c:ptCount val="4"/>
                <c:pt idx="0">
                  <c:v>Dados</c:v>
                </c:pt>
                <c:pt idx="1">
                  <c:v>Desenvolvimento</c:v>
                </c:pt>
                <c:pt idx="2">
                  <c:v>Infraestrutura</c:v>
                </c:pt>
                <c:pt idx="3">
                  <c:v>Suporte</c:v>
                </c:pt>
              </c:strCache>
            </c:strRef>
          </c:cat>
          <c:val>
            <c:numRef>
              <c:f>Areá_Atuação!$B$12:$B$15</c:f>
              <c:numCache>
                <c:formatCode>General</c:formatCode>
                <c:ptCount val="4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F-40D2-A3A0-7D4D543D4A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30345968"/>
        <c:axId val="730347408"/>
      </c:barChart>
      <c:catAx>
        <c:axId val="73034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0347408"/>
        <c:crosses val="autoZero"/>
        <c:auto val="1"/>
        <c:lblAlgn val="ctr"/>
        <c:lblOffset val="100"/>
        <c:noMultiLvlLbl val="0"/>
      </c:catAx>
      <c:valAx>
        <c:axId val="73034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034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Tickets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Tickets_Mês!$B$13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Tickets_Mês!$A$14:$A$19</c:f>
              <c:strCache>
                <c:ptCount val="6"/>
                <c:pt idx="0">
                  <c:v>14-23</c:v>
                </c:pt>
                <c:pt idx="1">
                  <c:v>24-33</c:v>
                </c:pt>
                <c:pt idx="2">
                  <c:v>34-43</c:v>
                </c:pt>
                <c:pt idx="3">
                  <c:v>44-53</c:v>
                </c:pt>
                <c:pt idx="4">
                  <c:v>54-63</c:v>
                </c:pt>
                <c:pt idx="5">
                  <c:v>64-73</c:v>
                </c:pt>
              </c:strCache>
            </c:strRef>
          </c:cat>
          <c:val>
            <c:numRef>
              <c:f>Tickets_Mês!$B$14:$B$19</c:f>
              <c:numCache>
                <c:formatCode>General</c:formatCode>
                <c:ptCount val="6"/>
                <c:pt idx="0">
                  <c:v>8</c:v>
                </c:pt>
                <c:pt idx="1">
                  <c:v>13</c:v>
                </c:pt>
                <c:pt idx="2">
                  <c:v>12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F-4344-856B-756C1342B3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4120192"/>
        <c:axId val="884124032"/>
      </c:barChart>
      <c:catAx>
        <c:axId val="88412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4124032"/>
        <c:crosses val="autoZero"/>
        <c:auto val="1"/>
        <c:lblAlgn val="ctr"/>
        <c:lblOffset val="100"/>
        <c:noMultiLvlLbl val="0"/>
      </c:catAx>
      <c:valAx>
        <c:axId val="88412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412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Horas_Treinamento</a:t>
            </a:r>
            <a:r>
              <a:rPr lang="pt-BR" baseline="0"/>
              <a:t> x Tickets_Mês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'Conjunto de Dados'!$C$2:$C$51</c:f>
              <c:numCache>
                <c:formatCode>0.0</c:formatCode>
                <c:ptCount val="5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8</c:v>
                </c:pt>
                <c:pt idx="11">
                  <c:v>9.5</c:v>
                </c:pt>
                <c:pt idx="12">
                  <c:v>11</c:v>
                </c:pt>
                <c:pt idx="13">
                  <c:v>12.5</c:v>
                </c:pt>
                <c:pt idx="14">
                  <c:v>14</c:v>
                </c:pt>
                <c:pt idx="15">
                  <c:v>15.5</c:v>
                </c:pt>
                <c:pt idx="16">
                  <c:v>17</c:v>
                </c:pt>
                <c:pt idx="17">
                  <c:v>18.5</c:v>
                </c:pt>
                <c:pt idx="18">
                  <c:v>20</c:v>
                </c:pt>
                <c:pt idx="19">
                  <c:v>21.5</c:v>
                </c:pt>
                <c:pt idx="20">
                  <c:v>15</c:v>
                </c:pt>
                <c:pt idx="21">
                  <c:v>16.5</c:v>
                </c:pt>
                <c:pt idx="22">
                  <c:v>18</c:v>
                </c:pt>
                <c:pt idx="23">
                  <c:v>19.5</c:v>
                </c:pt>
                <c:pt idx="24">
                  <c:v>21</c:v>
                </c:pt>
                <c:pt idx="25">
                  <c:v>22.5</c:v>
                </c:pt>
                <c:pt idx="26">
                  <c:v>24</c:v>
                </c:pt>
                <c:pt idx="27">
                  <c:v>25.5</c:v>
                </c:pt>
                <c:pt idx="28">
                  <c:v>27</c:v>
                </c:pt>
                <c:pt idx="29">
                  <c:v>28.5</c:v>
                </c:pt>
                <c:pt idx="30">
                  <c:v>6.5</c:v>
                </c:pt>
                <c:pt idx="31">
                  <c:v>8</c:v>
                </c:pt>
                <c:pt idx="32">
                  <c:v>9.5</c:v>
                </c:pt>
                <c:pt idx="33">
                  <c:v>11</c:v>
                </c:pt>
                <c:pt idx="34">
                  <c:v>12.5</c:v>
                </c:pt>
                <c:pt idx="35">
                  <c:v>14</c:v>
                </c:pt>
                <c:pt idx="36">
                  <c:v>15.5</c:v>
                </c:pt>
                <c:pt idx="37">
                  <c:v>17</c:v>
                </c:pt>
                <c:pt idx="38">
                  <c:v>18</c:v>
                </c:pt>
                <c:pt idx="39">
                  <c:v>20</c:v>
                </c:pt>
                <c:pt idx="40">
                  <c:v>23</c:v>
                </c:pt>
                <c:pt idx="41">
                  <c:v>24.5</c:v>
                </c:pt>
                <c:pt idx="42">
                  <c:v>16</c:v>
                </c:pt>
                <c:pt idx="43">
                  <c:v>17.5</c:v>
                </c:pt>
                <c:pt idx="44">
                  <c:v>30</c:v>
                </c:pt>
                <c:pt idx="45">
                  <c:v>40</c:v>
                </c:pt>
                <c:pt idx="46">
                  <c:v>22</c:v>
                </c:pt>
                <c:pt idx="47">
                  <c:v>24</c:v>
                </c:pt>
                <c:pt idx="48">
                  <c:v>26</c:v>
                </c:pt>
                <c:pt idx="49">
                  <c:v>28</c:v>
                </c:pt>
              </c:numCache>
            </c:numRef>
          </c:xVal>
          <c:yVal>
            <c:numRef>
              <c:f>'Conjunto de Dados'!$D$2:$D$51</c:f>
              <c:numCache>
                <c:formatCode>0</c:formatCode>
                <c:ptCount val="50"/>
                <c:pt idx="0">
                  <c:v>14</c:v>
                </c:pt>
                <c:pt idx="1">
                  <c:v>17</c:v>
                </c:pt>
                <c:pt idx="2">
                  <c:v>19</c:v>
                </c:pt>
                <c:pt idx="3">
                  <c:v>21</c:v>
                </c:pt>
                <c:pt idx="4">
                  <c:v>22</c:v>
                </c:pt>
                <c:pt idx="5">
                  <c:v>25</c:v>
                </c:pt>
                <c:pt idx="6">
                  <c:v>26</c:v>
                </c:pt>
                <c:pt idx="7">
                  <c:v>29</c:v>
                </c:pt>
                <c:pt idx="8">
                  <c:v>30</c:v>
                </c:pt>
                <c:pt idx="9">
                  <c:v>33</c:v>
                </c:pt>
                <c:pt idx="10">
                  <c:v>22</c:v>
                </c:pt>
                <c:pt idx="11">
                  <c:v>24</c:v>
                </c:pt>
                <c:pt idx="12">
                  <c:v>27</c:v>
                </c:pt>
                <c:pt idx="13">
                  <c:v>30</c:v>
                </c:pt>
                <c:pt idx="14">
                  <c:v>33</c:v>
                </c:pt>
                <c:pt idx="15">
                  <c:v>36</c:v>
                </c:pt>
                <c:pt idx="16">
                  <c:v>39</c:v>
                </c:pt>
                <c:pt idx="17">
                  <c:v>42</c:v>
                </c:pt>
                <c:pt idx="18">
                  <c:v>45</c:v>
                </c:pt>
                <c:pt idx="19">
                  <c:v>47</c:v>
                </c:pt>
                <c:pt idx="20">
                  <c:v>35</c:v>
                </c:pt>
                <c:pt idx="21">
                  <c:v>38</c:v>
                </c:pt>
                <c:pt idx="22">
                  <c:v>41</c:v>
                </c:pt>
                <c:pt idx="23">
                  <c:v>44</c:v>
                </c:pt>
                <c:pt idx="24">
                  <c:v>47</c:v>
                </c:pt>
                <c:pt idx="25">
                  <c:v>49</c:v>
                </c:pt>
                <c:pt idx="26">
                  <c:v>53</c:v>
                </c:pt>
                <c:pt idx="27">
                  <c:v>55</c:v>
                </c:pt>
                <c:pt idx="28">
                  <c:v>58</c:v>
                </c:pt>
                <c:pt idx="29">
                  <c:v>61</c:v>
                </c:pt>
                <c:pt idx="30">
                  <c:v>18</c:v>
                </c:pt>
                <c:pt idx="31">
                  <c:v>21</c:v>
                </c:pt>
                <c:pt idx="32">
                  <c:v>24</c:v>
                </c:pt>
                <c:pt idx="33">
                  <c:v>28</c:v>
                </c:pt>
                <c:pt idx="34">
                  <c:v>29</c:v>
                </c:pt>
                <c:pt idx="35">
                  <c:v>32</c:v>
                </c:pt>
                <c:pt idx="36">
                  <c:v>35</c:v>
                </c:pt>
                <c:pt idx="37">
                  <c:v>38</c:v>
                </c:pt>
                <c:pt idx="38">
                  <c:v>41</c:v>
                </c:pt>
                <c:pt idx="39">
                  <c:v>43</c:v>
                </c:pt>
                <c:pt idx="40">
                  <c:v>50</c:v>
                </c:pt>
                <c:pt idx="41">
                  <c:v>53</c:v>
                </c:pt>
                <c:pt idx="42">
                  <c:v>37</c:v>
                </c:pt>
                <c:pt idx="43">
                  <c:v>40</c:v>
                </c:pt>
                <c:pt idx="44">
                  <c:v>65</c:v>
                </c:pt>
                <c:pt idx="45">
                  <c:v>69</c:v>
                </c:pt>
                <c:pt idx="46">
                  <c:v>48</c:v>
                </c:pt>
                <c:pt idx="47">
                  <c:v>52</c:v>
                </c:pt>
                <c:pt idx="48">
                  <c:v>55</c:v>
                </c:pt>
                <c:pt idx="49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FC-42C9-953A-AD4D5D914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18816"/>
        <c:axId val="89621216"/>
      </c:scatterChart>
      <c:valAx>
        <c:axId val="8961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21216"/>
        <c:crosses val="autoZero"/>
        <c:crossBetween val="midCat"/>
      </c:valAx>
      <c:valAx>
        <c:axId val="8962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1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Horas De Treinamento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Horas De Treinamento</a:t>
          </a:r>
        </a:p>
      </cx:txPr>
    </cx:title>
    <cx:plotArea>
      <cx:plotAreaRegion>
        <cx:series layoutId="clusteredColumn" uniqueId="{5FCC2A0A-2682-4BA0-9192-D9BD9EE2349A}" formatIdx="0">
          <cx:tx>
            <cx:txData>
              <cx:f>_xlchart.v1.1</cx:f>
              <cx:v>fs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</cx:series>
      </cx:plotAreaRegion>
      <cx:axis id="0">
        <cx:catScaling gapWidth="0"/>
        <cx:title>
          <cx:tx>
            <cx:txData>
              <cx:v>Horas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pt-B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Horas</a:t>
              </a:r>
            </a:p>
          </cx:txPr>
        </cx:title>
        <cx:tickLabels/>
      </cx:axis>
      <cx:axis id="1">
        <cx:valScaling/>
        <cx:title>
          <cx:tx>
            <cx:txData>
              <cx:v>Q. De Treinamentos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pt-B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Q. De Treinamentos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Horas_Treinamento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Horas_Treinamento</a:t>
          </a:r>
        </a:p>
      </cx:txPr>
    </cx:title>
    <cx:plotArea>
      <cx:plotAreaRegion>
        <cx:series layoutId="boxWhisker" uniqueId="{D4D91967-98AB-4E1C-BD29-B7088BFE774C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Tickets_Mês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Tickets_Mês</a:t>
          </a:r>
        </a:p>
      </cx:txPr>
    </cx:title>
    <cx:plotArea>
      <cx:plotAreaRegion>
        <cx:series layoutId="boxWhisker" uniqueId="{0E9441BA-8F83-4008-AD8B-BC268B22FBE8}"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146050</xdr:colOff>
      <xdr:row>1</xdr:row>
      <xdr:rowOff>139700</xdr:rowOff>
    </xdr:from>
    <xdr:to>
      <xdr:col>11</xdr:col>
      <xdr:colOff>95250</xdr:colOff>
      <xdr:row>15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D94C70-7475-9443-E33D-72FFE3995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2</xdr:row>
      <xdr:rowOff>133350</xdr:rowOff>
    </xdr:from>
    <xdr:to>
      <xdr:col>13</xdr:col>
      <xdr:colOff>57150</xdr:colOff>
      <xdr:row>17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62E362F9-6765-DB33-222B-B2FED6DEA3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5050" y="527050"/>
              <a:ext cx="5073650" cy="2882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5</xdr:row>
      <xdr:rowOff>133350</xdr:rowOff>
    </xdr:from>
    <xdr:to>
      <xdr:col>13</xdr:col>
      <xdr:colOff>44450</xdr:colOff>
      <xdr:row>19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C4887A-F62F-095E-B3E2-44EC7013D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19</xdr:col>
      <xdr:colOff>176389</xdr:colOff>
      <xdr:row>38</xdr:row>
      <xdr:rowOff>176389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66FEC19-C548-4428-9F32-C8DA529B3682}"/>
            </a:ext>
          </a:extLst>
        </xdr:cNvPr>
        <xdr:cNvSpPr/>
      </xdr:nvSpPr>
      <xdr:spPr>
        <a:xfrm>
          <a:off x="4776611" y="197556"/>
          <a:ext cx="9461500" cy="748594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Uma empresa de Tecnologia da Informação deseja analisar o perfil de seus 50 colaboradores distribuídos nas áreas de Suporte, Desenvolvimento, Dados e Infraestrutura. Para isso, foi coletado um conjunto de dados contendo três variáveis: </a:t>
          </a: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Atuação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Carga anual de horas de capacitação na área de TI – </a:t>
          </a:r>
          <a:r>
            <a:rPr lang="pt-BR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Horas_Treinamento </a:t>
          </a:r>
          <a:r>
            <a:rPr lang="pt-BR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Número de tickets/chamados resolvidos por mês – </a:t>
          </a:r>
          <a:r>
            <a:rPr lang="pt-BR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Tickets_Mês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>
            <a:lnSpc>
              <a:spcPts val="1400"/>
            </a:lnSpc>
          </a:pPr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Classifique as variáveis da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tabela em qualitativa (nominal ou ordinal) ou quantitativa (discreta ou contínua).</a:t>
          </a:r>
        </a:p>
        <a:p>
          <a:pPr eaLnBrk="1" fontAlgn="auto" latinLnBrk="0" hangingPunct="1"/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  </a:t>
          </a:r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Area de Atuação 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Qualitativa Nominal. </a:t>
          </a:r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Horas_Treinamento 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Quantitativa Contínua. </a:t>
          </a:r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Tickets_Mês 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 Quantitativa Discreta</a:t>
          </a:r>
        </a:p>
        <a:p>
          <a:pPr eaLnBrk="1" fontAlgn="auto" latinLnBrk="0" hangingPunct="1"/>
          <a:endParaRPr lang="pt-BR" sz="1200">
            <a:effectLst/>
          </a:endParaRPr>
        </a:p>
        <a:p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Construa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tabelas de frequências (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frequências simples,  frequência percentual e frequência acumulada)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as variáveis.</a:t>
          </a:r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pt-BR" sz="1200">
            <a:effectLst/>
          </a:endParaRPr>
        </a:p>
        <a:p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Construa um 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gráfico para cada varíável do exercício 2</a:t>
          </a:r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pt-BR" sz="1200">
            <a:effectLst/>
          </a:endParaRPr>
        </a:p>
        <a:p>
          <a:pPr lvl="0"/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Calcule para a variáveis quantitativas</a:t>
          </a: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Média, moda, mediana,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ariância e desvio padrão. 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Compare a média de </a:t>
          </a: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Horas_Treinamento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entre as áreas (use cruzamentos de variáveis (tabela dinâmica).  Qual área investe mais, em média, em treinamento?  Essa diferença de médias é grande o suficiente para ser considerada relevante na prática?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 A área que investe mais em treinamento é a área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Dados. Sim, pois a área de Dados tem um número muito maior comparado ao resto das outras áreas.</a:t>
          </a:r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 relação a variável </a:t>
          </a: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Tickets_Mês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O que esses valores indicam sobre a homogeneidade da carga de trabalho entre os colaboradores?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 A área que há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maior quantidade de Tickets é a área de dados. Não há homogeneidade na carga de trabalho.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Calcule os CVs de </a:t>
          </a: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Tickets_Mês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 de </a:t>
          </a: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Horas_Treinamento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(considerando todos os colaboradores).</a:t>
          </a:r>
          <a:b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Qual variável apresenta maior dispersão relativa?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 A variável de Horas_Treinamento.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 qual caso o gestor deve estar mais atento à variabilidade dos resultados? Justifique com base no CV.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 No caso das Horas_Treinamento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pois ela é medida em horas sendo um estilo de contagem extenso.</a:t>
          </a:r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pt-BR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pt-BR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Construa o gráfico de caixas (BoxPlot) para a variáveis quantitativas e identifique os quartis no gráfico. Verifique se existem outliers.  Utilize o escore z para fazer a análise desses valores. </a:t>
          </a:r>
        </a:p>
        <a:p>
          <a:pPr eaLnBrk="1" fontAlgn="auto" latinLnBrk="0" hangingPunct="1"/>
          <a:endParaRPr lang="pt-BR" sz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7) </a:t>
          </a:r>
          <a:r>
            <a:rPr lang="pt-BR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Analisar</a:t>
          </a:r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correlação entre as variáveis </a:t>
          </a:r>
          <a:r>
            <a:rPr lang="pt-BR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Horas_Treinamento </a:t>
          </a:r>
          <a:r>
            <a:rPr lang="pt-BR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 </a:t>
          </a:r>
          <a:r>
            <a:rPr lang="pt-BR" sz="12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Tickets_Mês</a:t>
          </a:r>
          <a:r>
            <a:rPr lang="pt-BR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pt-BR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  <a:p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Construa o gráfico de dispersão;</a:t>
          </a:r>
          <a:endParaRPr lang="pt-BR" sz="1200">
            <a:effectLst/>
          </a:endParaRPr>
        </a:p>
        <a:p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 que pode ser dito sobre essa correlação?</a:t>
          </a:r>
        </a:p>
        <a:p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R: Há uma correlação linear positiva forte, com o coeficiente de relação sendo 0,99.</a:t>
          </a:r>
        </a:p>
        <a:p>
          <a:endParaRPr lang="pt-BR" sz="1200">
            <a:effectLst/>
          </a:endParaRPr>
        </a:p>
        <a:p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Caso exista correlação entre elas, encontre a equação de regressão linear. </a:t>
          </a:r>
        </a:p>
        <a:p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d)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Estive valores que não estão no conjunto de dados, usando a equação da regressão linear.</a:t>
          </a:r>
          <a:endParaRPr lang="pt-BR" sz="12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>
            <a:effectLst/>
          </a:endParaRPr>
        </a:p>
        <a:p>
          <a:pPr eaLnBrk="1" fontAlgn="auto" latinLnBrk="0" hangingPunct="1"/>
          <a:endParaRPr lang="pt-BR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 b="1">
            <a:effectLst/>
          </a:endParaRPr>
        </a:p>
        <a:p>
          <a:pPr algn="l"/>
          <a:endParaRPr lang="pt-BR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pt-BR" sz="11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659693</xdr:colOff>
      <xdr:row>52</xdr:row>
      <xdr:rowOff>18345</xdr:rowOff>
    </xdr:from>
    <xdr:to>
      <xdr:col>20</xdr:col>
      <xdr:colOff>589138</xdr:colOff>
      <xdr:row>65</xdr:row>
      <xdr:rowOff>193323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008AA8D-7B8F-3372-5281-59253CB877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92693" y="10254545"/>
              <a:ext cx="4596695" cy="2734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21</xdr:col>
      <xdr:colOff>236359</xdr:colOff>
      <xdr:row>52</xdr:row>
      <xdr:rowOff>39512</xdr:rowOff>
    </xdr:from>
    <xdr:to>
      <xdr:col>28</xdr:col>
      <xdr:colOff>165804</xdr:colOff>
      <xdr:row>66</xdr:row>
      <xdr:rowOff>16934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AA4843D5-9CEF-3B74-CA38-7732E1AD78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14559" y="10275712"/>
              <a:ext cx="4552245" cy="27333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6</xdr:col>
      <xdr:colOff>81139</xdr:colOff>
      <xdr:row>70</xdr:row>
      <xdr:rowOff>131234</xdr:rowOff>
    </xdr:from>
    <xdr:to>
      <xdr:col>12</xdr:col>
      <xdr:colOff>666751</xdr:colOff>
      <xdr:row>84</xdr:row>
      <xdr:rowOff>108657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8C8D1E2-D772-06B4-190E-FCB424500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48.458975810187" createdVersion="8" refreshedVersion="8" minRefreshableVersion="3" recordCount="50" xr:uid="{0FD79C67-F4AB-4F8D-8A5F-465DB259A750}">
  <cacheSource type="worksheet">
    <worksheetSource ref="A1:D51" sheet="Conjunto de Dados"/>
  </cacheSource>
  <cacheFields count="4">
    <cacheField name="ID" numFmtId="0">
      <sharedItems/>
    </cacheField>
    <cacheField name="Área_Atuação" numFmtId="0">
      <sharedItems count="4">
        <s v="Suporte"/>
        <s v="Desenvolvimento"/>
        <s v="Dados"/>
        <s v="Infraestrutura"/>
      </sharedItems>
    </cacheField>
    <cacheField name="Horas_Treinamento" numFmtId="164">
      <sharedItems containsSemiMixedTypes="0" containsString="0" containsNumber="1" minValue="5" maxValue="40"/>
    </cacheField>
    <cacheField name="Tickets_Mês" numFmtId="1">
      <sharedItems containsSemiMixedTypes="0" containsString="0" containsNumber="1" containsInteger="1" minValue="14" maxValue="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48.461336574073" createdVersion="8" refreshedVersion="8" minRefreshableVersion="3" recordCount="50" xr:uid="{813D0DF7-3F16-4725-82E7-50E85071396A}">
  <cacheSource type="worksheet">
    <worksheetSource ref="A1:D51" sheet="Conjunto de Dados"/>
  </cacheSource>
  <cacheFields count="4">
    <cacheField name="ID" numFmtId="0">
      <sharedItems/>
    </cacheField>
    <cacheField name="Área_Atuação" numFmtId="0">
      <sharedItems count="4">
        <s v="Suporte"/>
        <s v="Desenvolvimento"/>
        <s v="Dados"/>
        <s v="Infraestrutura"/>
      </sharedItems>
    </cacheField>
    <cacheField name="Horas_Treinamento" numFmtId="164">
      <sharedItems containsSemiMixedTypes="0" containsString="0" containsNumber="1" minValue="5" maxValue="40" count="37">
        <n v="5"/>
        <n v="6"/>
        <n v="7"/>
        <n v="8"/>
        <n v="9"/>
        <n v="10"/>
        <n v="11"/>
        <n v="12"/>
        <n v="13"/>
        <n v="14"/>
        <n v="9.5"/>
        <n v="12.5"/>
        <n v="15.5"/>
        <n v="17"/>
        <n v="18.5"/>
        <n v="20"/>
        <n v="21.5"/>
        <n v="15"/>
        <n v="16.5"/>
        <n v="18"/>
        <n v="19.5"/>
        <n v="21"/>
        <n v="22.5"/>
        <n v="24"/>
        <n v="25.5"/>
        <n v="27"/>
        <n v="28.5"/>
        <n v="6.5"/>
        <n v="23"/>
        <n v="24.5"/>
        <n v="16"/>
        <n v="17.5"/>
        <n v="30"/>
        <n v="40"/>
        <n v="22"/>
        <n v="26"/>
        <n v="28"/>
      </sharedItems>
      <fieldGroup base="2">
        <rangePr startNum="5" endNum="40" groupInterval="10"/>
        <groupItems count="6">
          <s v="&lt;5"/>
          <s v="5-15"/>
          <s v="15-25"/>
          <s v="25-35"/>
          <s v="35-45"/>
          <s v="&gt;45"/>
        </groupItems>
      </fieldGroup>
    </cacheField>
    <cacheField name="Tickets_Mês" numFmtId="1">
      <sharedItems containsSemiMixedTypes="0" containsString="0" containsNumber="1" containsInteger="1" minValue="14" maxValue="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48.464668518522" createdVersion="8" refreshedVersion="8" minRefreshableVersion="3" recordCount="50" xr:uid="{222FD028-6617-4951-853D-E9AE457E24E4}">
  <cacheSource type="worksheet">
    <worksheetSource ref="A1:D51" sheet="Conjunto de Dados"/>
  </cacheSource>
  <cacheFields count="4">
    <cacheField name="ID" numFmtId="0">
      <sharedItems/>
    </cacheField>
    <cacheField name="Área_Atuação" numFmtId="0">
      <sharedItems count="4">
        <s v="Suporte"/>
        <s v="Desenvolvimento"/>
        <s v="Dados"/>
        <s v="Infraestrutura"/>
      </sharedItems>
    </cacheField>
    <cacheField name="Horas_Treinamento" numFmtId="164">
      <sharedItems containsSemiMixedTypes="0" containsString="0" containsNumber="1" minValue="5" maxValue="40"/>
    </cacheField>
    <cacheField name="Tickets_Mês" numFmtId="1">
      <sharedItems containsSemiMixedTypes="0" containsString="0" containsNumber="1" containsInteger="1" minValue="14" maxValue="69" count="38">
        <n v="14"/>
        <n v="17"/>
        <n v="19"/>
        <n v="21"/>
        <n v="22"/>
        <n v="25"/>
        <n v="26"/>
        <n v="29"/>
        <n v="30"/>
        <n v="33"/>
        <n v="24"/>
        <n v="27"/>
        <n v="36"/>
        <n v="39"/>
        <n v="42"/>
        <n v="45"/>
        <n v="47"/>
        <n v="35"/>
        <n v="38"/>
        <n v="41"/>
        <n v="44"/>
        <n v="49"/>
        <n v="53"/>
        <n v="55"/>
        <n v="58"/>
        <n v="61"/>
        <n v="18"/>
        <n v="28"/>
        <n v="32"/>
        <n v="43"/>
        <n v="50"/>
        <n v="37"/>
        <n v="40"/>
        <n v="65"/>
        <n v="69"/>
        <n v="48"/>
        <n v="52"/>
        <n v="60"/>
      </sharedItems>
      <fieldGroup base="3">
        <rangePr startNum="14" endNum="69" groupInterval="10"/>
        <groupItems count="8">
          <s v="&lt;14"/>
          <s v="14-23"/>
          <s v="24-33"/>
          <s v="34-43"/>
          <s v="44-53"/>
          <s v="54-63"/>
          <s v="64-73"/>
          <s v="&gt;7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uno" refreshedDate="46149.368189120367" createdVersion="8" refreshedVersion="8" minRefreshableVersion="3" recordCount="50" xr:uid="{ABF722EE-4CF4-4B1C-BA0F-A9F8BEE91CFB}">
  <cacheSource type="worksheet">
    <worksheetSource ref="A1:D51" sheet="Conjunto de Dados"/>
  </cacheSource>
  <cacheFields count="4">
    <cacheField name="ID" numFmtId="0">
      <sharedItems/>
    </cacheField>
    <cacheField name="Área_Atuação" numFmtId="0">
      <sharedItems count="4">
        <s v="Suporte"/>
        <s v="Desenvolvimento"/>
        <s v="Dados"/>
        <s v="Infraestrutura"/>
      </sharedItems>
    </cacheField>
    <cacheField name="Horas_Treinamento" numFmtId="164">
      <sharedItems containsSemiMixedTypes="0" containsString="0" containsNumber="1" minValue="5" maxValue="40" count="37">
        <n v="5"/>
        <n v="6"/>
        <n v="7"/>
        <n v="8"/>
        <n v="9"/>
        <n v="10"/>
        <n v="11"/>
        <n v="12"/>
        <n v="13"/>
        <n v="14"/>
        <n v="9.5"/>
        <n v="12.5"/>
        <n v="15.5"/>
        <n v="17"/>
        <n v="18.5"/>
        <n v="20"/>
        <n v="21.5"/>
        <n v="15"/>
        <n v="16.5"/>
        <n v="18"/>
        <n v="19.5"/>
        <n v="21"/>
        <n v="22.5"/>
        <n v="24"/>
        <n v="25.5"/>
        <n v="27"/>
        <n v="28.5"/>
        <n v="6.5"/>
        <n v="23"/>
        <n v="24.5"/>
        <n v="16"/>
        <n v="17.5"/>
        <n v="30"/>
        <n v="40"/>
        <n v="22"/>
        <n v="26"/>
        <n v="28"/>
      </sharedItems>
      <fieldGroup base="2">
        <rangePr startNum="5" endNum="40" groupInterval="5"/>
        <groupItems count="9">
          <s v="&lt;5"/>
          <s v="5-10"/>
          <s v="10-15"/>
          <s v="15-20"/>
          <s v="20-25"/>
          <s v="25-30"/>
          <s v="30-35"/>
          <s v="35-40"/>
          <s v="&gt;40"/>
        </groupItems>
      </fieldGroup>
    </cacheField>
    <cacheField name="Tickets_Mês" numFmtId="1">
      <sharedItems containsSemiMixedTypes="0" containsString="0" containsNumber="1" containsInteger="1" minValue="14" maxValue="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o Savoine" refreshedDate="46153.841847222226" createdVersion="8" refreshedVersion="8" minRefreshableVersion="3" recordCount="50" xr:uid="{C4657E9F-4774-4941-B6C1-E2C20656C0E6}">
  <cacheSource type="worksheet">
    <worksheetSource ref="A1:D51" sheet="Conjunto de Dados"/>
  </cacheSource>
  <cacheFields count="4">
    <cacheField name="ID" numFmtId="0">
      <sharedItems/>
    </cacheField>
    <cacheField name="Área_Atuação" numFmtId="0">
      <sharedItems count="4">
        <s v="Suporte"/>
        <s v="Desenvolvimento"/>
        <s v="Dados"/>
        <s v="Infraestrutura"/>
      </sharedItems>
    </cacheField>
    <cacheField name="Horas_Treinamento" numFmtId="164">
      <sharedItems containsSemiMixedTypes="0" containsString="0" containsNumber="1" minValue="5" maxValue="40" count="37">
        <n v="5"/>
        <n v="6"/>
        <n v="7"/>
        <n v="8"/>
        <n v="9"/>
        <n v="10"/>
        <n v="11"/>
        <n v="12"/>
        <n v="13"/>
        <n v="14"/>
        <n v="9.5"/>
        <n v="12.5"/>
        <n v="15.5"/>
        <n v="17"/>
        <n v="18.5"/>
        <n v="20"/>
        <n v="21.5"/>
        <n v="15"/>
        <n v="16.5"/>
        <n v="18"/>
        <n v="19.5"/>
        <n v="21"/>
        <n v="22.5"/>
        <n v="24"/>
        <n v="25.5"/>
        <n v="27"/>
        <n v="28.5"/>
        <n v="6.5"/>
        <n v="23"/>
        <n v="24.5"/>
        <n v="16"/>
        <n v="17.5"/>
        <n v="30"/>
        <n v="40"/>
        <n v="22"/>
        <n v="26"/>
        <n v="28"/>
      </sharedItems>
      <fieldGroup base="2">
        <rangePr startNum="5" endNum="40" groupInterval="10"/>
        <groupItems count="6">
          <s v="&lt;5"/>
          <s v="5-15"/>
          <s v="15-25"/>
          <s v="25-35"/>
          <s v="35-45"/>
          <s v="&gt;45"/>
        </groupItems>
      </fieldGroup>
    </cacheField>
    <cacheField name="Tickets_Mês" numFmtId="1">
      <sharedItems containsSemiMixedTypes="0" containsString="0" containsNumber="1" containsInteger="1" minValue="14" maxValue="69" count="38">
        <n v="14"/>
        <n v="17"/>
        <n v="19"/>
        <n v="21"/>
        <n v="22"/>
        <n v="25"/>
        <n v="26"/>
        <n v="29"/>
        <n v="30"/>
        <n v="33"/>
        <n v="24"/>
        <n v="27"/>
        <n v="36"/>
        <n v="39"/>
        <n v="42"/>
        <n v="45"/>
        <n v="47"/>
        <n v="35"/>
        <n v="38"/>
        <n v="41"/>
        <n v="44"/>
        <n v="49"/>
        <n v="53"/>
        <n v="55"/>
        <n v="58"/>
        <n v="61"/>
        <n v="18"/>
        <n v="28"/>
        <n v="32"/>
        <n v="43"/>
        <n v="50"/>
        <n v="37"/>
        <n v="40"/>
        <n v="65"/>
        <n v="69"/>
        <n v="48"/>
        <n v="52"/>
        <n v="60"/>
      </sharedItems>
      <fieldGroup base="3">
        <rangePr startNum="14" endNum="69" groupInterval="6"/>
        <groupItems count="12">
          <s v="&lt;14"/>
          <s v="14-19"/>
          <s v="20-25"/>
          <s v="26-31"/>
          <s v="32-37"/>
          <s v="38-43"/>
          <s v="44-49"/>
          <s v="50-55"/>
          <s v="56-61"/>
          <s v="62-67"/>
          <s v="68-73"/>
          <s v="&gt;7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1"/>
    <x v="0"/>
    <n v="5"/>
    <n v="14"/>
  </r>
  <r>
    <s v="2"/>
    <x v="0"/>
    <n v="6"/>
    <n v="17"/>
  </r>
  <r>
    <s v="3"/>
    <x v="0"/>
    <n v="7"/>
    <n v="19"/>
  </r>
  <r>
    <s v="4"/>
    <x v="0"/>
    <n v="8"/>
    <n v="21"/>
  </r>
  <r>
    <s v="5"/>
    <x v="0"/>
    <n v="9"/>
    <n v="22"/>
  </r>
  <r>
    <s v="6"/>
    <x v="0"/>
    <n v="10"/>
    <n v="25"/>
  </r>
  <r>
    <s v="7"/>
    <x v="0"/>
    <n v="11"/>
    <n v="26"/>
  </r>
  <r>
    <s v="8"/>
    <x v="0"/>
    <n v="12"/>
    <n v="29"/>
  </r>
  <r>
    <s v="9"/>
    <x v="0"/>
    <n v="13"/>
    <n v="30"/>
  </r>
  <r>
    <s v="10"/>
    <x v="0"/>
    <n v="14"/>
    <n v="33"/>
  </r>
  <r>
    <s v="11"/>
    <x v="1"/>
    <n v="8"/>
    <n v="22"/>
  </r>
  <r>
    <s v="12"/>
    <x v="1"/>
    <n v="9.5"/>
    <n v="24"/>
  </r>
  <r>
    <s v="13"/>
    <x v="1"/>
    <n v="11"/>
    <n v="27"/>
  </r>
  <r>
    <s v="14"/>
    <x v="1"/>
    <n v="12.5"/>
    <n v="30"/>
  </r>
  <r>
    <s v="15"/>
    <x v="1"/>
    <n v="14"/>
    <n v="33"/>
  </r>
  <r>
    <s v="16"/>
    <x v="1"/>
    <n v="15.5"/>
    <n v="36"/>
  </r>
  <r>
    <s v="17"/>
    <x v="1"/>
    <n v="17"/>
    <n v="39"/>
  </r>
  <r>
    <s v="18"/>
    <x v="1"/>
    <n v="18.5"/>
    <n v="42"/>
  </r>
  <r>
    <s v="19"/>
    <x v="1"/>
    <n v="20"/>
    <n v="45"/>
  </r>
  <r>
    <s v="20"/>
    <x v="1"/>
    <n v="21.5"/>
    <n v="47"/>
  </r>
  <r>
    <s v="21"/>
    <x v="2"/>
    <n v="15"/>
    <n v="35"/>
  </r>
  <r>
    <s v="22"/>
    <x v="2"/>
    <n v="16.5"/>
    <n v="38"/>
  </r>
  <r>
    <s v="23"/>
    <x v="2"/>
    <n v="18"/>
    <n v="41"/>
  </r>
  <r>
    <s v="24"/>
    <x v="2"/>
    <n v="19.5"/>
    <n v="44"/>
  </r>
  <r>
    <s v="25"/>
    <x v="2"/>
    <n v="21"/>
    <n v="47"/>
  </r>
  <r>
    <s v="26"/>
    <x v="2"/>
    <n v="22.5"/>
    <n v="49"/>
  </r>
  <r>
    <s v="27"/>
    <x v="2"/>
    <n v="24"/>
    <n v="53"/>
  </r>
  <r>
    <s v="28"/>
    <x v="2"/>
    <n v="25.5"/>
    <n v="55"/>
  </r>
  <r>
    <s v="29"/>
    <x v="2"/>
    <n v="27"/>
    <n v="58"/>
  </r>
  <r>
    <s v="30"/>
    <x v="2"/>
    <n v="28.5"/>
    <n v="61"/>
  </r>
  <r>
    <s v="31"/>
    <x v="3"/>
    <n v="6.5"/>
    <n v="18"/>
  </r>
  <r>
    <s v="32"/>
    <x v="3"/>
    <n v="8"/>
    <n v="21"/>
  </r>
  <r>
    <s v="33"/>
    <x v="3"/>
    <n v="9.5"/>
    <n v="24"/>
  </r>
  <r>
    <s v="34"/>
    <x v="3"/>
    <n v="11"/>
    <n v="28"/>
  </r>
  <r>
    <s v="35"/>
    <x v="3"/>
    <n v="12.5"/>
    <n v="29"/>
  </r>
  <r>
    <s v="36"/>
    <x v="3"/>
    <n v="14"/>
    <n v="32"/>
  </r>
  <r>
    <s v="37"/>
    <x v="3"/>
    <n v="15.5"/>
    <n v="35"/>
  </r>
  <r>
    <s v="38"/>
    <x v="3"/>
    <n v="17"/>
    <n v="38"/>
  </r>
  <r>
    <s v="39"/>
    <x v="3"/>
    <n v="18"/>
    <n v="41"/>
  </r>
  <r>
    <s v="40"/>
    <x v="3"/>
    <n v="20"/>
    <n v="43"/>
  </r>
  <r>
    <s v="41"/>
    <x v="1"/>
    <n v="23"/>
    <n v="50"/>
  </r>
  <r>
    <s v="42"/>
    <x v="1"/>
    <n v="24.5"/>
    <n v="53"/>
  </r>
  <r>
    <s v="43"/>
    <x v="0"/>
    <n v="16"/>
    <n v="37"/>
  </r>
  <r>
    <s v="44"/>
    <x v="0"/>
    <n v="17.5"/>
    <n v="40"/>
  </r>
  <r>
    <s v="45"/>
    <x v="2"/>
    <n v="30"/>
    <n v="65"/>
  </r>
  <r>
    <s v="46"/>
    <x v="2"/>
    <n v="40"/>
    <n v="69"/>
  </r>
  <r>
    <s v="47"/>
    <x v="3"/>
    <n v="22"/>
    <n v="48"/>
  </r>
  <r>
    <s v="48"/>
    <x v="3"/>
    <n v="24"/>
    <n v="52"/>
  </r>
  <r>
    <s v="49"/>
    <x v="0"/>
    <n v="26"/>
    <n v="55"/>
  </r>
  <r>
    <s v="50"/>
    <x v="1"/>
    <n v="28"/>
    <n v="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1"/>
    <x v="0"/>
    <x v="0"/>
    <n v="14"/>
  </r>
  <r>
    <s v="2"/>
    <x v="0"/>
    <x v="1"/>
    <n v="17"/>
  </r>
  <r>
    <s v="3"/>
    <x v="0"/>
    <x v="2"/>
    <n v="19"/>
  </r>
  <r>
    <s v="4"/>
    <x v="0"/>
    <x v="3"/>
    <n v="21"/>
  </r>
  <r>
    <s v="5"/>
    <x v="0"/>
    <x v="4"/>
    <n v="22"/>
  </r>
  <r>
    <s v="6"/>
    <x v="0"/>
    <x v="5"/>
    <n v="25"/>
  </r>
  <r>
    <s v="7"/>
    <x v="0"/>
    <x v="6"/>
    <n v="26"/>
  </r>
  <r>
    <s v="8"/>
    <x v="0"/>
    <x v="7"/>
    <n v="29"/>
  </r>
  <r>
    <s v="9"/>
    <x v="0"/>
    <x v="8"/>
    <n v="30"/>
  </r>
  <r>
    <s v="10"/>
    <x v="0"/>
    <x v="9"/>
    <n v="33"/>
  </r>
  <r>
    <s v="11"/>
    <x v="1"/>
    <x v="3"/>
    <n v="22"/>
  </r>
  <r>
    <s v="12"/>
    <x v="1"/>
    <x v="10"/>
    <n v="24"/>
  </r>
  <r>
    <s v="13"/>
    <x v="1"/>
    <x v="6"/>
    <n v="27"/>
  </r>
  <r>
    <s v="14"/>
    <x v="1"/>
    <x v="11"/>
    <n v="30"/>
  </r>
  <r>
    <s v="15"/>
    <x v="1"/>
    <x v="9"/>
    <n v="33"/>
  </r>
  <r>
    <s v="16"/>
    <x v="1"/>
    <x v="12"/>
    <n v="36"/>
  </r>
  <r>
    <s v="17"/>
    <x v="1"/>
    <x v="13"/>
    <n v="39"/>
  </r>
  <r>
    <s v="18"/>
    <x v="1"/>
    <x v="14"/>
    <n v="42"/>
  </r>
  <r>
    <s v="19"/>
    <x v="1"/>
    <x v="15"/>
    <n v="45"/>
  </r>
  <r>
    <s v="20"/>
    <x v="1"/>
    <x v="16"/>
    <n v="47"/>
  </r>
  <r>
    <s v="21"/>
    <x v="2"/>
    <x v="17"/>
    <n v="35"/>
  </r>
  <r>
    <s v="22"/>
    <x v="2"/>
    <x v="18"/>
    <n v="38"/>
  </r>
  <r>
    <s v="23"/>
    <x v="2"/>
    <x v="19"/>
    <n v="41"/>
  </r>
  <r>
    <s v="24"/>
    <x v="2"/>
    <x v="20"/>
    <n v="44"/>
  </r>
  <r>
    <s v="25"/>
    <x v="2"/>
    <x v="21"/>
    <n v="47"/>
  </r>
  <r>
    <s v="26"/>
    <x v="2"/>
    <x v="22"/>
    <n v="49"/>
  </r>
  <r>
    <s v="27"/>
    <x v="2"/>
    <x v="23"/>
    <n v="53"/>
  </r>
  <r>
    <s v="28"/>
    <x v="2"/>
    <x v="24"/>
    <n v="55"/>
  </r>
  <r>
    <s v="29"/>
    <x v="2"/>
    <x v="25"/>
    <n v="58"/>
  </r>
  <r>
    <s v="30"/>
    <x v="2"/>
    <x v="26"/>
    <n v="61"/>
  </r>
  <r>
    <s v="31"/>
    <x v="3"/>
    <x v="27"/>
    <n v="18"/>
  </r>
  <r>
    <s v="32"/>
    <x v="3"/>
    <x v="3"/>
    <n v="21"/>
  </r>
  <r>
    <s v="33"/>
    <x v="3"/>
    <x v="10"/>
    <n v="24"/>
  </r>
  <r>
    <s v="34"/>
    <x v="3"/>
    <x v="6"/>
    <n v="28"/>
  </r>
  <r>
    <s v="35"/>
    <x v="3"/>
    <x v="11"/>
    <n v="29"/>
  </r>
  <r>
    <s v="36"/>
    <x v="3"/>
    <x v="9"/>
    <n v="32"/>
  </r>
  <r>
    <s v="37"/>
    <x v="3"/>
    <x v="12"/>
    <n v="35"/>
  </r>
  <r>
    <s v="38"/>
    <x v="3"/>
    <x v="13"/>
    <n v="38"/>
  </r>
  <r>
    <s v="39"/>
    <x v="3"/>
    <x v="19"/>
    <n v="41"/>
  </r>
  <r>
    <s v="40"/>
    <x v="3"/>
    <x v="15"/>
    <n v="43"/>
  </r>
  <r>
    <s v="41"/>
    <x v="1"/>
    <x v="28"/>
    <n v="50"/>
  </r>
  <r>
    <s v="42"/>
    <x v="1"/>
    <x v="29"/>
    <n v="53"/>
  </r>
  <r>
    <s v="43"/>
    <x v="0"/>
    <x v="30"/>
    <n v="37"/>
  </r>
  <r>
    <s v="44"/>
    <x v="0"/>
    <x v="31"/>
    <n v="40"/>
  </r>
  <r>
    <s v="45"/>
    <x v="2"/>
    <x v="32"/>
    <n v="65"/>
  </r>
  <r>
    <s v="46"/>
    <x v="2"/>
    <x v="33"/>
    <n v="69"/>
  </r>
  <r>
    <s v="47"/>
    <x v="3"/>
    <x v="34"/>
    <n v="48"/>
  </r>
  <r>
    <s v="48"/>
    <x v="3"/>
    <x v="23"/>
    <n v="52"/>
  </r>
  <r>
    <s v="49"/>
    <x v="0"/>
    <x v="35"/>
    <n v="55"/>
  </r>
  <r>
    <s v="50"/>
    <x v="1"/>
    <x v="36"/>
    <n v="6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1"/>
    <x v="0"/>
    <n v="5"/>
    <x v="0"/>
  </r>
  <r>
    <s v="2"/>
    <x v="0"/>
    <n v="6"/>
    <x v="1"/>
  </r>
  <r>
    <s v="3"/>
    <x v="0"/>
    <n v="7"/>
    <x v="2"/>
  </r>
  <r>
    <s v="4"/>
    <x v="0"/>
    <n v="8"/>
    <x v="3"/>
  </r>
  <r>
    <s v="5"/>
    <x v="0"/>
    <n v="9"/>
    <x v="4"/>
  </r>
  <r>
    <s v="6"/>
    <x v="0"/>
    <n v="10"/>
    <x v="5"/>
  </r>
  <r>
    <s v="7"/>
    <x v="0"/>
    <n v="11"/>
    <x v="6"/>
  </r>
  <r>
    <s v="8"/>
    <x v="0"/>
    <n v="12"/>
    <x v="7"/>
  </r>
  <r>
    <s v="9"/>
    <x v="0"/>
    <n v="13"/>
    <x v="8"/>
  </r>
  <r>
    <s v="10"/>
    <x v="0"/>
    <n v="14"/>
    <x v="9"/>
  </r>
  <r>
    <s v="11"/>
    <x v="1"/>
    <n v="8"/>
    <x v="4"/>
  </r>
  <r>
    <s v="12"/>
    <x v="1"/>
    <n v="9.5"/>
    <x v="10"/>
  </r>
  <r>
    <s v="13"/>
    <x v="1"/>
    <n v="11"/>
    <x v="11"/>
  </r>
  <r>
    <s v="14"/>
    <x v="1"/>
    <n v="12.5"/>
    <x v="8"/>
  </r>
  <r>
    <s v="15"/>
    <x v="1"/>
    <n v="14"/>
    <x v="9"/>
  </r>
  <r>
    <s v="16"/>
    <x v="1"/>
    <n v="15.5"/>
    <x v="12"/>
  </r>
  <r>
    <s v="17"/>
    <x v="1"/>
    <n v="17"/>
    <x v="13"/>
  </r>
  <r>
    <s v="18"/>
    <x v="1"/>
    <n v="18.5"/>
    <x v="14"/>
  </r>
  <r>
    <s v="19"/>
    <x v="1"/>
    <n v="20"/>
    <x v="15"/>
  </r>
  <r>
    <s v="20"/>
    <x v="1"/>
    <n v="21.5"/>
    <x v="16"/>
  </r>
  <r>
    <s v="21"/>
    <x v="2"/>
    <n v="15"/>
    <x v="17"/>
  </r>
  <r>
    <s v="22"/>
    <x v="2"/>
    <n v="16.5"/>
    <x v="18"/>
  </r>
  <r>
    <s v="23"/>
    <x v="2"/>
    <n v="18"/>
    <x v="19"/>
  </r>
  <r>
    <s v="24"/>
    <x v="2"/>
    <n v="19.5"/>
    <x v="20"/>
  </r>
  <r>
    <s v="25"/>
    <x v="2"/>
    <n v="21"/>
    <x v="16"/>
  </r>
  <r>
    <s v="26"/>
    <x v="2"/>
    <n v="22.5"/>
    <x v="21"/>
  </r>
  <r>
    <s v="27"/>
    <x v="2"/>
    <n v="24"/>
    <x v="22"/>
  </r>
  <r>
    <s v="28"/>
    <x v="2"/>
    <n v="25.5"/>
    <x v="23"/>
  </r>
  <r>
    <s v="29"/>
    <x v="2"/>
    <n v="27"/>
    <x v="24"/>
  </r>
  <r>
    <s v="30"/>
    <x v="2"/>
    <n v="28.5"/>
    <x v="25"/>
  </r>
  <r>
    <s v="31"/>
    <x v="3"/>
    <n v="6.5"/>
    <x v="26"/>
  </r>
  <r>
    <s v="32"/>
    <x v="3"/>
    <n v="8"/>
    <x v="3"/>
  </r>
  <r>
    <s v="33"/>
    <x v="3"/>
    <n v="9.5"/>
    <x v="10"/>
  </r>
  <r>
    <s v="34"/>
    <x v="3"/>
    <n v="11"/>
    <x v="27"/>
  </r>
  <r>
    <s v="35"/>
    <x v="3"/>
    <n v="12.5"/>
    <x v="7"/>
  </r>
  <r>
    <s v="36"/>
    <x v="3"/>
    <n v="14"/>
    <x v="28"/>
  </r>
  <r>
    <s v="37"/>
    <x v="3"/>
    <n v="15.5"/>
    <x v="17"/>
  </r>
  <r>
    <s v="38"/>
    <x v="3"/>
    <n v="17"/>
    <x v="18"/>
  </r>
  <r>
    <s v="39"/>
    <x v="3"/>
    <n v="18"/>
    <x v="19"/>
  </r>
  <r>
    <s v="40"/>
    <x v="3"/>
    <n v="20"/>
    <x v="29"/>
  </r>
  <r>
    <s v="41"/>
    <x v="1"/>
    <n v="23"/>
    <x v="30"/>
  </r>
  <r>
    <s v="42"/>
    <x v="1"/>
    <n v="24.5"/>
    <x v="22"/>
  </r>
  <r>
    <s v="43"/>
    <x v="0"/>
    <n v="16"/>
    <x v="31"/>
  </r>
  <r>
    <s v="44"/>
    <x v="0"/>
    <n v="17.5"/>
    <x v="32"/>
  </r>
  <r>
    <s v="45"/>
    <x v="2"/>
    <n v="30"/>
    <x v="33"/>
  </r>
  <r>
    <s v="46"/>
    <x v="2"/>
    <n v="40"/>
    <x v="34"/>
  </r>
  <r>
    <s v="47"/>
    <x v="3"/>
    <n v="22"/>
    <x v="35"/>
  </r>
  <r>
    <s v="48"/>
    <x v="3"/>
    <n v="24"/>
    <x v="36"/>
  </r>
  <r>
    <s v="49"/>
    <x v="0"/>
    <n v="26"/>
    <x v="23"/>
  </r>
  <r>
    <s v="50"/>
    <x v="1"/>
    <n v="28"/>
    <x v="3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1"/>
    <x v="0"/>
    <x v="0"/>
    <n v="14"/>
  </r>
  <r>
    <s v="2"/>
    <x v="0"/>
    <x v="1"/>
    <n v="17"/>
  </r>
  <r>
    <s v="3"/>
    <x v="0"/>
    <x v="2"/>
    <n v="19"/>
  </r>
  <r>
    <s v="4"/>
    <x v="0"/>
    <x v="3"/>
    <n v="21"/>
  </r>
  <r>
    <s v="5"/>
    <x v="0"/>
    <x v="4"/>
    <n v="22"/>
  </r>
  <r>
    <s v="6"/>
    <x v="0"/>
    <x v="5"/>
    <n v="25"/>
  </r>
  <r>
    <s v="7"/>
    <x v="0"/>
    <x v="6"/>
    <n v="26"/>
  </r>
  <r>
    <s v="8"/>
    <x v="0"/>
    <x v="7"/>
    <n v="29"/>
  </r>
  <r>
    <s v="9"/>
    <x v="0"/>
    <x v="8"/>
    <n v="30"/>
  </r>
  <r>
    <s v="10"/>
    <x v="0"/>
    <x v="9"/>
    <n v="33"/>
  </r>
  <r>
    <s v="11"/>
    <x v="1"/>
    <x v="3"/>
    <n v="22"/>
  </r>
  <r>
    <s v="12"/>
    <x v="1"/>
    <x v="10"/>
    <n v="24"/>
  </r>
  <r>
    <s v="13"/>
    <x v="1"/>
    <x v="6"/>
    <n v="27"/>
  </r>
  <r>
    <s v="14"/>
    <x v="1"/>
    <x v="11"/>
    <n v="30"/>
  </r>
  <r>
    <s v="15"/>
    <x v="1"/>
    <x v="9"/>
    <n v="33"/>
  </r>
  <r>
    <s v="16"/>
    <x v="1"/>
    <x v="12"/>
    <n v="36"/>
  </r>
  <r>
    <s v="17"/>
    <x v="1"/>
    <x v="13"/>
    <n v="39"/>
  </r>
  <r>
    <s v="18"/>
    <x v="1"/>
    <x v="14"/>
    <n v="42"/>
  </r>
  <r>
    <s v="19"/>
    <x v="1"/>
    <x v="15"/>
    <n v="45"/>
  </r>
  <r>
    <s v="20"/>
    <x v="1"/>
    <x v="16"/>
    <n v="47"/>
  </r>
  <r>
    <s v="21"/>
    <x v="2"/>
    <x v="17"/>
    <n v="35"/>
  </r>
  <r>
    <s v="22"/>
    <x v="2"/>
    <x v="18"/>
    <n v="38"/>
  </r>
  <r>
    <s v="23"/>
    <x v="2"/>
    <x v="19"/>
    <n v="41"/>
  </r>
  <r>
    <s v="24"/>
    <x v="2"/>
    <x v="20"/>
    <n v="44"/>
  </r>
  <r>
    <s v="25"/>
    <x v="2"/>
    <x v="21"/>
    <n v="47"/>
  </r>
  <r>
    <s v="26"/>
    <x v="2"/>
    <x v="22"/>
    <n v="49"/>
  </r>
  <r>
    <s v="27"/>
    <x v="2"/>
    <x v="23"/>
    <n v="53"/>
  </r>
  <r>
    <s v="28"/>
    <x v="2"/>
    <x v="24"/>
    <n v="55"/>
  </r>
  <r>
    <s v="29"/>
    <x v="2"/>
    <x v="25"/>
    <n v="58"/>
  </r>
  <r>
    <s v="30"/>
    <x v="2"/>
    <x v="26"/>
    <n v="61"/>
  </r>
  <r>
    <s v="31"/>
    <x v="3"/>
    <x v="27"/>
    <n v="18"/>
  </r>
  <r>
    <s v="32"/>
    <x v="3"/>
    <x v="3"/>
    <n v="21"/>
  </r>
  <r>
    <s v="33"/>
    <x v="3"/>
    <x v="10"/>
    <n v="24"/>
  </r>
  <r>
    <s v="34"/>
    <x v="3"/>
    <x v="6"/>
    <n v="28"/>
  </r>
  <r>
    <s v="35"/>
    <x v="3"/>
    <x v="11"/>
    <n v="29"/>
  </r>
  <r>
    <s v="36"/>
    <x v="3"/>
    <x v="9"/>
    <n v="32"/>
  </r>
  <r>
    <s v="37"/>
    <x v="3"/>
    <x v="12"/>
    <n v="35"/>
  </r>
  <r>
    <s v="38"/>
    <x v="3"/>
    <x v="13"/>
    <n v="38"/>
  </r>
  <r>
    <s v="39"/>
    <x v="3"/>
    <x v="19"/>
    <n v="41"/>
  </r>
  <r>
    <s v="40"/>
    <x v="3"/>
    <x v="15"/>
    <n v="43"/>
  </r>
  <r>
    <s v="41"/>
    <x v="1"/>
    <x v="28"/>
    <n v="50"/>
  </r>
  <r>
    <s v="42"/>
    <x v="1"/>
    <x v="29"/>
    <n v="53"/>
  </r>
  <r>
    <s v="43"/>
    <x v="0"/>
    <x v="30"/>
    <n v="37"/>
  </r>
  <r>
    <s v="44"/>
    <x v="0"/>
    <x v="31"/>
    <n v="40"/>
  </r>
  <r>
    <s v="45"/>
    <x v="2"/>
    <x v="32"/>
    <n v="65"/>
  </r>
  <r>
    <s v="46"/>
    <x v="2"/>
    <x v="33"/>
    <n v="69"/>
  </r>
  <r>
    <s v="47"/>
    <x v="3"/>
    <x v="34"/>
    <n v="48"/>
  </r>
  <r>
    <s v="48"/>
    <x v="3"/>
    <x v="23"/>
    <n v="52"/>
  </r>
  <r>
    <s v="49"/>
    <x v="0"/>
    <x v="35"/>
    <n v="55"/>
  </r>
  <r>
    <s v="50"/>
    <x v="1"/>
    <x v="36"/>
    <n v="6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1"/>
    <x v="0"/>
    <x v="0"/>
    <x v="0"/>
  </r>
  <r>
    <s v="2"/>
    <x v="0"/>
    <x v="1"/>
    <x v="1"/>
  </r>
  <r>
    <s v="3"/>
    <x v="0"/>
    <x v="2"/>
    <x v="2"/>
  </r>
  <r>
    <s v="4"/>
    <x v="0"/>
    <x v="3"/>
    <x v="3"/>
  </r>
  <r>
    <s v="5"/>
    <x v="0"/>
    <x v="4"/>
    <x v="4"/>
  </r>
  <r>
    <s v="6"/>
    <x v="0"/>
    <x v="5"/>
    <x v="5"/>
  </r>
  <r>
    <s v="7"/>
    <x v="0"/>
    <x v="6"/>
    <x v="6"/>
  </r>
  <r>
    <s v="8"/>
    <x v="0"/>
    <x v="7"/>
    <x v="7"/>
  </r>
  <r>
    <s v="9"/>
    <x v="0"/>
    <x v="8"/>
    <x v="8"/>
  </r>
  <r>
    <s v="10"/>
    <x v="0"/>
    <x v="9"/>
    <x v="9"/>
  </r>
  <r>
    <s v="11"/>
    <x v="1"/>
    <x v="3"/>
    <x v="4"/>
  </r>
  <r>
    <s v="12"/>
    <x v="1"/>
    <x v="10"/>
    <x v="10"/>
  </r>
  <r>
    <s v="13"/>
    <x v="1"/>
    <x v="6"/>
    <x v="11"/>
  </r>
  <r>
    <s v="14"/>
    <x v="1"/>
    <x v="11"/>
    <x v="8"/>
  </r>
  <r>
    <s v="15"/>
    <x v="1"/>
    <x v="9"/>
    <x v="9"/>
  </r>
  <r>
    <s v="16"/>
    <x v="1"/>
    <x v="12"/>
    <x v="12"/>
  </r>
  <r>
    <s v="17"/>
    <x v="1"/>
    <x v="13"/>
    <x v="13"/>
  </r>
  <r>
    <s v="18"/>
    <x v="1"/>
    <x v="14"/>
    <x v="14"/>
  </r>
  <r>
    <s v="19"/>
    <x v="1"/>
    <x v="15"/>
    <x v="15"/>
  </r>
  <r>
    <s v="20"/>
    <x v="1"/>
    <x v="16"/>
    <x v="16"/>
  </r>
  <r>
    <s v="21"/>
    <x v="2"/>
    <x v="17"/>
    <x v="17"/>
  </r>
  <r>
    <s v="22"/>
    <x v="2"/>
    <x v="18"/>
    <x v="18"/>
  </r>
  <r>
    <s v="23"/>
    <x v="2"/>
    <x v="19"/>
    <x v="19"/>
  </r>
  <r>
    <s v="24"/>
    <x v="2"/>
    <x v="20"/>
    <x v="20"/>
  </r>
  <r>
    <s v="25"/>
    <x v="2"/>
    <x v="21"/>
    <x v="16"/>
  </r>
  <r>
    <s v="26"/>
    <x v="2"/>
    <x v="22"/>
    <x v="21"/>
  </r>
  <r>
    <s v="27"/>
    <x v="2"/>
    <x v="23"/>
    <x v="22"/>
  </r>
  <r>
    <s v="28"/>
    <x v="2"/>
    <x v="24"/>
    <x v="23"/>
  </r>
  <r>
    <s v="29"/>
    <x v="2"/>
    <x v="25"/>
    <x v="24"/>
  </r>
  <r>
    <s v="30"/>
    <x v="2"/>
    <x v="26"/>
    <x v="25"/>
  </r>
  <r>
    <s v="31"/>
    <x v="3"/>
    <x v="27"/>
    <x v="26"/>
  </r>
  <r>
    <s v="32"/>
    <x v="3"/>
    <x v="3"/>
    <x v="3"/>
  </r>
  <r>
    <s v="33"/>
    <x v="3"/>
    <x v="10"/>
    <x v="10"/>
  </r>
  <r>
    <s v="34"/>
    <x v="3"/>
    <x v="6"/>
    <x v="27"/>
  </r>
  <r>
    <s v="35"/>
    <x v="3"/>
    <x v="11"/>
    <x v="7"/>
  </r>
  <r>
    <s v="36"/>
    <x v="3"/>
    <x v="9"/>
    <x v="28"/>
  </r>
  <r>
    <s v="37"/>
    <x v="3"/>
    <x v="12"/>
    <x v="17"/>
  </r>
  <r>
    <s v="38"/>
    <x v="3"/>
    <x v="13"/>
    <x v="18"/>
  </r>
  <r>
    <s v="39"/>
    <x v="3"/>
    <x v="19"/>
    <x v="19"/>
  </r>
  <r>
    <s v="40"/>
    <x v="3"/>
    <x v="15"/>
    <x v="29"/>
  </r>
  <r>
    <s v="41"/>
    <x v="1"/>
    <x v="28"/>
    <x v="30"/>
  </r>
  <r>
    <s v="42"/>
    <x v="1"/>
    <x v="29"/>
    <x v="22"/>
  </r>
  <r>
    <s v="43"/>
    <x v="0"/>
    <x v="30"/>
    <x v="31"/>
  </r>
  <r>
    <s v="44"/>
    <x v="0"/>
    <x v="31"/>
    <x v="32"/>
  </r>
  <r>
    <s v="45"/>
    <x v="2"/>
    <x v="32"/>
    <x v="33"/>
  </r>
  <r>
    <s v="46"/>
    <x v="2"/>
    <x v="33"/>
    <x v="34"/>
  </r>
  <r>
    <s v="47"/>
    <x v="3"/>
    <x v="34"/>
    <x v="35"/>
  </r>
  <r>
    <s v="48"/>
    <x v="3"/>
    <x v="23"/>
    <x v="36"/>
  </r>
  <r>
    <s v="49"/>
    <x v="0"/>
    <x v="35"/>
    <x v="23"/>
  </r>
  <r>
    <s v="50"/>
    <x v="1"/>
    <x v="36"/>
    <x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E5F1B-184C-4294-8F80-F2985907903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reá_Atuação">
  <location ref="A3:D8" firstHeaderRow="0" firstDataRow="1" firstDataCol="1"/>
  <pivotFields count="4">
    <pivotField showAll="0"/>
    <pivotField axis="axisRow" dataField="1" showAll="0">
      <items count="5">
        <item x="2"/>
        <item x="1"/>
        <item x="3"/>
        <item x="0"/>
        <item t="default"/>
      </items>
    </pivotField>
    <pivotField numFmtId="164" showAll="0"/>
    <pivotField numFmtI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1" subtotal="count" baseField="1" baseItem="0"/>
    <dataField name="%" fld="1" subtotal="count" showDataAs="percentOfTotal" baseField="1" baseItem="0" numFmtId="10"/>
    <dataField name="fa" fld="1" subtotal="count" showDataAs="runTotal" baseField="1" baseItem="0"/>
  </dataFields>
  <formats count="12"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1" type="button" dataOnly="0" labelOnly="1" outline="0" axis="axisRow" fieldPosition="0"/>
    </format>
    <format dxfId="127">
      <pivotArea dataOnly="0" labelOnly="1" fieldPosition="0">
        <references count="1">
          <reference field="1" count="0"/>
        </references>
      </pivotArea>
    </format>
    <format dxfId="126">
      <pivotArea dataOnly="0" labelOnly="1" grandRow="1" outline="0" fieldPosition="0"/>
    </format>
    <format dxfId="1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1" type="button" dataOnly="0" labelOnly="1" outline="0" axis="axisRow" fieldPosition="0"/>
    </format>
    <format dxfId="121">
      <pivotArea dataOnly="0" labelOnly="1" fieldPosition="0">
        <references count="1">
          <reference field="1" count="0"/>
        </references>
      </pivotArea>
    </format>
    <format dxfId="120">
      <pivotArea dataOnly="0" labelOnly="1" grandRow="1" outline="0" fieldPosition="0"/>
    </format>
    <format dxfId="1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A1712-40A2-422F-AB1E-FA1F59619E8E}" name="Tabela dinâ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Horas_Treinamento">
  <location ref="A3:D8" firstHeaderRow="0" firstDataRow="1" firstDataCol="1"/>
  <pivotFields count="4">
    <pivotField showAll="0"/>
    <pivotField showAll="0">
      <items count="5">
        <item x="2"/>
        <item x="1"/>
        <item x="3"/>
        <item x="0"/>
        <item t="default"/>
      </items>
    </pivotField>
    <pivotField axis="axisRow" dataField="1" numFmtId="164" showAll="0">
      <items count="7">
        <item x="0"/>
        <item x="1"/>
        <item x="2"/>
        <item x="3"/>
        <item x="4"/>
        <item x="5"/>
        <item t="default"/>
      </items>
    </pivotField>
    <pivotField numFmtId="1" showAll="0"/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2" subtotal="count" baseField="2" baseItem="1"/>
    <dataField name="%" fld="2" subtotal="count" showDataAs="percentOfTotal" baseField="2" baseItem="1" numFmtId="10"/>
    <dataField name="fa" fld="2" subtotal="count" showDataAs="runTotal" baseField="2" baseItem="1"/>
  </dataFields>
  <formats count="14">
    <format dxfId="118">
      <pivotArea type="all" dataOnly="0" outline="0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2" type="button" dataOnly="0" labelOnly="1" outline="0" axis="axisRow" fieldPosition="0"/>
    </format>
    <format dxfId="114">
      <pivotArea dataOnly="0" labelOnly="1" fieldPosition="0">
        <references count="1">
          <reference field="2" count="4">
            <x v="1"/>
            <x v="2"/>
            <x v="3"/>
            <x v="4"/>
          </reference>
        </references>
      </pivotArea>
    </format>
    <format dxfId="113">
      <pivotArea dataOnly="0" labelOnly="1" grandRow="1" outline="0" fieldPosition="0"/>
    </format>
    <format dxfId="1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1">
      <pivotArea outline="0" fieldPosition="0">
        <references count="1">
          <reference field="4294967294" count="1">
            <x v="1"/>
          </reference>
        </references>
      </pivotArea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2" type="button" dataOnly="0" labelOnly="1" outline="0" axis="axisRow" fieldPosition="0"/>
    </format>
    <format dxfId="107">
      <pivotArea dataOnly="0" labelOnly="1" fieldPosition="0">
        <references count="1">
          <reference field="2" count="4">
            <x v="1"/>
            <x v="2"/>
            <x v="3"/>
            <x v="4"/>
          </reference>
        </references>
      </pivotArea>
    </format>
    <format dxfId="106">
      <pivotArea dataOnly="0" labelOnly="1" grandRow="1" outline="0" fieldPosition="0"/>
    </format>
    <format dxfId="1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AB6E2-B496-42BF-875C-17BBC8209793}" name="Tabela dinâmica1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ckets_Mês">
  <location ref="A3:D10" firstHeaderRow="0" firstDataRow="1" firstDataCol="1"/>
  <pivotFields count="4">
    <pivotField showAll="0"/>
    <pivotField showAll="0">
      <items count="5">
        <item x="2"/>
        <item x="1"/>
        <item x="3"/>
        <item x="0"/>
        <item t="default"/>
      </items>
    </pivotField>
    <pivotField numFmtId="164" showAll="0"/>
    <pivotField axis="axisRow" dataField="1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s" fld="3" subtotal="count" baseField="3" baseItem="1"/>
    <dataField name="%" fld="3" subtotal="count" showDataAs="percentOfTotal" baseField="3" baseItem="1" numFmtId="10"/>
    <dataField name="fa" fld="3" subtotal="count" showDataAs="runTotal" baseField="3" baseItem="1"/>
  </dataFields>
  <formats count="13"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3" type="button" dataOnly="0" labelOnly="1" outline="0" axis="axisRow" fieldPosition="0"/>
    </format>
    <format dxfId="101">
      <pivotArea dataOnly="0" labelOnly="1" fieldPosition="0">
        <references count="1">
          <reference field="3" count="6">
            <x v="1"/>
            <x v="2"/>
            <x v="3"/>
            <x v="4"/>
            <x v="5"/>
            <x v="6"/>
          </reference>
        </references>
      </pivotArea>
    </format>
    <format dxfId="100">
      <pivotArea dataOnly="0" labelOnly="1" grandRow="1" outline="0" fieldPosition="0"/>
    </format>
    <format dxfId="9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3" type="button" dataOnly="0" labelOnly="1" outline="0" axis="axisRow" fieldPosition="0"/>
    </format>
    <format dxfId="95">
      <pivotArea dataOnly="0" labelOnly="1" fieldPosition="0">
        <references count="1">
          <reference field="3" count="6">
            <x v="1"/>
            <x v="2"/>
            <x v="3"/>
            <x v="4"/>
            <x v="5"/>
            <x v="6"/>
          </reference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2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9A32C-61A1-4FB1-A7DC-EC8CE499D156}" name="Tabela dinâ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12" firstHeaderRow="1" firstDataRow="2" firstDataCol="1"/>
  <pivotFields count="4">
    <pivotField showAll="0"/>
    <pivotField axis="axisCol" showAll="0">
      <items count="5">
        <item x="2"/>
        <item x="1"/>
        <item x="3"/>
        <item x="0"/>
        <item t="default"/>
      </items>
    </pivotField>
    <pivotField axis="axisRow" dataField="1" numFmtId="16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" showAll="0"/>
  </pivotFields>
  <rowFields count="1">
    <field x="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édia de Horas_Treinamento" fld="2" subtotal="average" baseField="2" baseItem="0"/>
  </dataFields>
  <formats count="23"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1" type="button" dataOnly="0" labelOnly="1" outline="0" axis="axisCol" fieldPosition="0"/>
    </format>
    <format dxfId="87">
      <pivotArea type="topRight" dataOnly="0" labelOnly="1" outline="0" fieldPosition="0"/>
    </format>
    <format dxfId="86">
      <pivotArea field="2" type="button" dataOnly="0" labelOnly="1" outline="0" axis="axisRow" fieldPosition="0"/>
    </format>
    <format dxfId="85">
      <pivotArea dataOnly="0" labelOnly="1" fieldPosition="0">
        <references count="1">
          <reference field="2" count="7">
            <x v="1"/>
            <x v="2"/>
            <x v="3"/>
            <x v="4"/>
            <x v="5"/>
            <x v="6"/>
            <x v="7"/>
          </reference>
        </references>
      </pivotArea>
    </format>
    <format dxfId="84">
      <pivotArea dataOnly="0" labelOnly="1" grandRow="1" outline="0" fieldPosition="0"/>
    </format>
    <format dxfId="83">
      <pivotArea dataOnly="0" labelOnly="1" fieldPosition="0">
        <references count="1">
          <reference field="1" count="0"/>
        </references>
      </pivotArea>
    </format>
    <format dxfId="82">
      <pivotArea dataOnly="0" labelOnly="1" grandCol="1" outline="0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type="origin" dataOnly="0" labelOnly="1" outline="0" fieldPosition="0"/>
    </format>
    <format dxfId="78">
      <pivotArea field="1" type="button" dataOnly="0" labelOnly="1" outline="0" axis="axisCol" fieldPosition="0"/>
    </format>
    <format dxfId="77">
      <pivotArea type="topRight" dataOnly="0" labelOnly="1" outline="0" fieldPosition="0"/>
    </format>
    <format dxfId="76">
      <pivotArea field="2" type="button" dataOnly="0" labelOnly="1" outline="0" axis="axisRow" fieldPosition="0"/>
    </format>
    <format dxfId="75">
      <pivotArea dataOnly="0" labelOnly="1" fieldPosition="0">
        <references count="1">
          <reference field="2" count="7">
            <x v="1"/>
            <x v="2"/>
            <x v="3"/>
            <x v="4"/>
            <x v="5"/>
            <x v="6"/>
            <x v="7"/>
          </reference>
        </references>
      </pivotArea>
    </format>
    <format dxfId="74">
      <pivotArea dataOnly="0" labelOnly="1" grandRow="1" outline="0" fieldPosition="0"/>
    </format>
    <format dxfId="73">
      <pivotArea dataOnly="0" labelOnly="1" fieldPosition="0">
        <references count="1">
          <reference field="1" count="0"/>
        </references>
      </pivotArea>
    </format>
    <format dxfId="72">
      <pivotArea dataOnly="0" labelOnly="1" grandCol="1" outline="0" fieldPosition="0"/>
    </format>
    <format dxfId="71">
      <pivotArea field="1" grandRow="1" outline="0" collapsedLevelsAreSubtotals="1" axis="axisCol" fieldPosition="0">
        <references count="1">
          <reference field="1" count="0" selected="0"/>
        </references>
      </pivotArea>
    </format>
    <format dxfId="70">
      <pivotArea collapsedLevelsAreSubtotals="1" fieldPosition="0">
        <references count="2">
          <reference field="1" count="1" selected="0">
            <x v="2"/>
          </reference>
          <reference field="2" count="1">
            <x v="3"/>
          </reference>
        </references>
      </pivotArea>
    </format>
    <format dxfId="69">
      <pivotArea field="2" grandCol="1" collapsedLevelsAreSubtotals="1" axis="axisRow" fieldPosition="0">
        <references count="1">
          <reference field="2" count="1"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9E28B-7F1E-4783-A447-97608E76ECA1}" name="Tabela dinâmica6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5:F27" firstHeaderRow="1" firstDataRow="2" firstDataCol="1"/>
  <pivotFields count="4">
    <pivotField showAll="0"/>
    <pivotField axis="axisCol" showAll="0">
      <items count="5">
        <item x="2"/>
        <item x="1"/>
        <item x="3"/>
        <item x="0"/>
        <item t="default"/>
      </items>
    </pivotField>
    <pivotField numFmtId="164" showAll="0">
      <items count="7">
        <item x="0"/>
        <item x="1"/>
        <item x="2"/>
        <item x="3"/>
        <item x="4"/>
        <item x="5"/>
        <item t="default"/>
      </items>
    </pivotField>
    <pivotField axis="axisRow" dataField="1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édia de Tickets_Mês" fld="3" subtotal="average" baseField="3" baseItem="1"/>
  </dataFields>
  <formats count="27"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field="1" type="button" dataOnly="0" labelOnly="1" outline="0" axis="axisCol" fieldPosition="0"/>
    </format>
    <format dxfId="64">
      <pivotArea type="topRight" dataOnly="0" labelOnly="1" outline="0" fieldPosition="0"/>
    </format>
    <format dxfId="63">
      <pivotArea field="3" type="button" dataOnly="0" labelOnly="1" outline="0" axis="axisRow" fieldPosition="0"/>
    </format>
    <format dxfId="62">
      <pivotArea dataOnly="0" labelOnly="1" fieldPosition="0">
        <references count="1">
          <reference field="3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61">
      <pivotArea dataOnly="0" labelOnly="1" grandRow="1" outline="0" fieldPosition="0"/>
    </format>
    <format dxfId="60">
      <pivotArea dataOnly="0" labelOnly="1" fieldPosition="0">
        <references count="1">
          <reference field="1" count="0"/>
        </references>
      </pivotArea>
    </format>
    <format dxfId="59">
      <pivotArea dataOnly="0" labelOnly="1" grandCol="1" outline="0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type="origin" dataOnly="0" labelOnly="1" outline="0" fieldPosition="0"/>
    </format>
    <format dxfId="55">
      <pivotArea field="1" type="button" dataOnly="0" labelOnly="1" outline="0" axis="axisCol" fieldPosition="0"/>
    </format>
    <format dxfId="54">
      <pivotArea type="topRight" dataOnly="0" labelOnly="1" outline="0" fieldPosition="0"/>
    </format>
    <format dxfId="53">
      <pivotArea field="3" type="button" dataOnly="0" labelOnly="1" outline="0" axis="axisRow" fieldPosition="0"/>
    </format>
    <format dxfId="52">
      <pivotArea dataOnly="0" labelOnly="1" fieldPosition="0">
        <references count="1">
          <reference field="3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grandCol="1" outline="0" fieldPosition="0"/>
    </format>
    <format dxfId="43">
      <pivotArea collapsedLevelsAreSubtotals="1" fieldPosition="0">
        <references count="2">
          <reference field="1" count="1" selected="0">
            <x v="0"/>
          </reference>
          <reference field="3" count="1">
            <x v="6"/>
          </reference>
        </references>
      </pivotArea>
    </format>
    <format dxfId="36">
      <pivotArea collapsedLevelsAreSubtotals="1" fieldPosition="0">
        <references count="2">
          <reference field="1" count="1" selected="0">
            <x v="2"/>
          </reference>
          <reference field="3" count="1">
            <x v="5"/>
          </reference>
        </references>
      </pivotArea>
    </format>
    <format dxfId="29">
      <pivotArea collapsedLevelsAreSubtotals="1" fieldPosition="0">
        <references count="2">
          <reference field="1" count="1" selected="0">
            <x v="3"/>
          </reference>
          <reference field="3" count="3">
            <x v="1"/>
            <x v="2"/>
            <x v="3"/>
          </reference>
        </references>
      </pivotArea>
    </format>
    <format dxfId="22">
      <pivotArea field="3" grandCol="1" collapsedLevelsAreSubtotals="1" axis="axisRow" fieldPosition="0">
        <references count="1">
          <reference field="3" count="3">
            <x v="2"/>
            <x v="3"/>
            <x v="4"/>
          </reference>
        </references>
      </pivotArea>
    </format>
    <format dxfId="15">
      <pivotArea field="3" grandCol="1" collapsedLevelsAreSubtotals="1" axis="axisRow" fieldPosition="0">
        <references count="1">
          <reference field="3" count="1">
            <x v="6"/>
          </reference>
        </references>
      </pivotArea>
    </format>
    <format dxfId="8">
      <pivotArea field="3" grandCol="1" collapsedLevelsAreSubtotals="1" axis="axisRow" fieldPosition="0">
        <references count="1">
          <reference field="3" count="1">
            <x v="8"/>
          </reference>
        </references>
      </pivotArea>
    </format>
    <format dxfId="1">
      <pivotArea field="1" grandRow="1" outline="0" collapsedLevelsAreSubtotals="1" axis="axisCol" fieldPosition="0">
        <references count="1">
          <reference field="1" count="3" selected="0">
            <x v="1"/>
            <x v="2"/>
            <x v="3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8767-D7B5-4940-ACE8-9C4982467EE3}">
  <dimension ref="A3:D16"/>
  <sheetViews>
    <sheetView workbookViewId="0">
      <selection activeCell="N16" sqref="N16"/>
    </sheetView>
  </sheetViews>
  <sheetFormatPr defaultRowHeight="15.5" x14ac:dyDescent="0.35"/>
  <cols>
    <col min="1" max="1" width="16.58203125" bestFit="1" customWidth="1"/>
    <col min="2" max="2" width="2.75" bestFit="1" customWidth="1"/>
    <col min="3" max="3" width="7.75" bestFit="1" customWidth="1"/>
    <col min="4" max="4" width="2.75" bestFit="1" customWidth="1"/>
  </cols>
  <sheetData>
    <row r="3" spans="1:4" x14ac:dyDescent="0.35">
      <c r="A3" s="10" t="s">
        <v>62</v>
      </c>
      <c r="B3" s="11" t="s">
        <v>61</v>
      </c>
      <c r="C3" s="11" t="s">
        <v>59</v>
      </c>
      <c r="D3" s="11" t="s">
        <v>60</v>
      </c>
    </row>
    <row r="4" spans="1:4" x14ac:dyDescent="0.35">
      <c r="A4" s="11" t="s">
        <v>37</v>
      </c>
      <c r="B4" s="12">
        <v>12</v>
      </c>
      <c r="C4" s="13">
        <v>0.24</v>
      </c>
      <c r="D4" s="12">
        <v>12</v>
      </c>
    </row>
    <row r="5" spans="1:4" x14ac:dyDescent="0.35">
      <c r="A5" s="11" t="s">
        <v>26</v>
      </c>
      <c r="B5" s="12">
        <v>13</v>
      </c>
      <c r="C5" s="13">
        <v>0.26</v>
      </c>
      <c r="D5" s="12">
        <v>25</v>
      </c>
    </row>
    <row r="6" spans="1:4" x14ac:dyDescent="0.35">
      <c r="A6" s="11" t="s">
        <v>44</v>
      </c>
      <c r="B6" s="12">
        <v>12</v>
      </c>
      <c r="C6" s="13">
        <v>0.24</v>
      </c>
      <c r="D6" s="12">
        <v>37</v>
      </c>
    </row>
    <row r="7" spans="1:4" x14ac:dyDescent="0.35">
      <c r="A7" s="11" t="s">
        <v>5</v>
      </c>
      <c r="B7" s="12">
        <v>13</v>
      </c>
      <c r="C7" s="13">
        <v>0.26</v>
      </c>
      <c r="D7" s="12">
        <v>50</v>
      </c>
    </row>
    <row r="8" spans="1:4" x14ac:dyDescent="0.35">
      <c r="A8" s="11" t="s">
        <v>58</v>
      </c>
      <c r="B8" s="12">
        <v>50</v>
      </c>
      <c r="C8" s="13">
        <v>1</v>
      </c>
      <c r="D8" s="12"/>
    </row>
    <row r="11" spans="1:4" x14ac:dyDescent="0.35">
      <c r="A11" s="14" t="s">
        <v>62</v>
      </c>
      <c r="B11" s="15" t="s">
        <v>61</v>
      </c>
    </row>
    <row r="12" spans="1:4" x14ac:dyDescent="0.35">
      <c r="A12" s="16" t="s">
        <v>37</v>
      </c>
      <c r="B12" s="17">
        <v>12</v>
      </c>
    </row>
    <row r="13" spans="1:4" x14ac:dyDescent="0.35">
      <c r="A13" s="16" t="s">
        <v>26</v>
      </c>
      <c r="B13" s="17">
        <v>13</v>
      </c>
    </row>
    <row r="14" spans="1:4" x14ac:dyDescent="0.35">
      <c r="A14" s="16" t="s">
        <v>44</v>
      </c>
      <c r="B14" s="17">
        <v>12</v>
      </c>
    </row>
    <row r="15" spans="1:4" ht="16" thickBot="1" x14ac:dyDescent="0.4">
      <c r="A15" s="16" t="s">
        <v>5</v>
      </c>
      <c r="B15" s="17">
        <v>13</v>
      </c>
    </row>
    <row r="16" spans="1:4" ht="16" thickTop="1" x14ac:dyDescent="0.35">
      <c r="A16" s="18" t="s">
        <v>58</v>
      </c>
      <c r="B16" s="19">
        <v>50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A8A1-06B5-4FF8-8B14-81C20D53ECC7}">
  <dimension ref="A3:D16"/>
  <sheetViews>
    <sheetView workbookViewId="0">
      <selection activeCell="J2" sqref="J2"/>
    </sheetView>
  </sheetViews>
  <sheetFormatPr defaultRowHeight="15.5" x14ac:dyDescent="0.35"/>
  <cols>
    <col min="1" max="1" width="21.5" bestFit="1" customWidth="1"/>
    <col min="2" max="2" width="2.75" bestFit="1" customWidth="1"/>
    <col min="3" max="3" width="7.75" bestFit="1" customWidth="1"/>
    <col min="4" max="4" width="2.75" bestFit="1" customWidth="1"/>
  </cols>
  <sheetData>
    <row r="3" spans="1:4" x14ac:dyDescent="0.35">
      <c r="A3" s="10" t="s">
        <v>3</v>
      </c>
      <c r="B3" s="11" t="s">
        <v>61</v>
      </c>
      <c r="C3" s="11" t="s">
        <v>59</v>
      </c>
      <c r="D3" s="11" t="s">
        <v>60</v>
      </c>
    </row>
    <row r="4" spans="1:4" x14ac:dyDescent="0.35">
      <c r="A4" s="20" t="s">
        <v>63</v>
      </c>
      <c r="B4" s="12">
        <v>21</v>
      </c>
      <c r="C4" s="13">
        <v>0.42</v>
      </c>
      <c r="D4" s="12">
        <v>21</v>
      </c>
    </row>
    <row r="5" spans="1:4" x14ac:dyDescent="0.35">
      <c r="A5" s="20" t="s">
        <v>64</v>
      </c>
      <c r="B5" s="12">
        <v>22</v>
      </c>
      <c r="C5" s="13">
        <v>0.44</v>
      </c>
      <c r="D5" s="12">
        <v>43</v>
      </c>
    </row>
    <row r="6" spans="1:4" x14ac:dyDescent="0.35">
      <c r="A6" s="20" t="s">
        <v>65</v>
      </c>
      <c r="B6" s="12">
        <v>6</v>
      </c>
      <c r="C6" s="13">
        <v>0.12</v>
      </c>
      <c r="D6" s="12">
        <v>49</v>
      </c>
    </row>
    <row r="7" spans="1:4" x14ac:dyDescent="0.35">
      <c r="A7" s="20" t="s">
        <v>66</v>
      </c>
      <c r="B7" s="12">
        <v>1</v>
      </c>
      <c r="C7" s="13">
        <v>0.02</v>
      </c>
      <c r="D7" s="12">
        <v>50</v>
      </c>
    </row>
    <row r="8" spans="1:4" x14ac:dyDescent="0.35">
      <c r="A8" s="20" t="s">
        <v>58</v>
      </c>
      <c r="B8" s="12">
        <v>50</v>
      </c>
      <c r="C8" s="13">
        <v>1</v>
      </c>
      <c r="D8" s="12"/>
    </row>
    <row r="11" spans="1:4" x14ac:dyDescent="0.35">
      <c r="A11" s="14" t="s">
        <v>3</v>
      </c>
      <c r="B11" s="15" t="s">
        <v>61</v>
      </c>
    </row>
    <row r="12" spans="1:4" x14ac:dyDescent="0.35">
      <c r="A12" s="21" t="s">
        <v>63</v>
      </c>
      <c r="B12" s="17">
        <v>21</v>
      </c>
    </row>
    <row r="13" spans="1:4" x14ac:dyDescent="0.35">
      <c r="A13" s="21" t="s">
        <v>64</v>
      </c>
      <c r="B13" s="17">
        <v>22</v>
      </c>
    </row>
    <row r="14" spans="1:4" x14ac:dyDescent="0.35">
      <c r="A14" s="21" t="s">
        <v>65</v>
      </c>
      <c r="B14" s="17">
        <v>6</v>
      </c>
    </row>
    <row r="15" spans="1:4" ht="16" thickBot="1" x14ac:dyDescent="0.4">
      <c r="A15" s="21" t="s">
        <v>66</v>
      </c>
      <c r="B15" s="17">
        <v>1</v>
      </c>
    </row>
    <row r="16" spans="1:4" ht="16" thickTop="1" x14ac:dyDescent="0.35">
      <c r="A16" s="22" t="s">
        <v>58</v>
      </c>
      <c r="B16" s="19">
        <v>50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7BDE-5BEF-44E2-8E70-AEAC1839CC4C}">
  <dimension ref="A3:D20"/>
  <sheetViews>
    <sheetView workbookViewId="0">
      <selection activeCell="N18" sqref="N18"/>
    </sheetView>
  </sheetViews>
  <sheetFormatPr defaultRowHeight="15.5" x14ac:dyDescent="0.35"/>
  <cols>
    <col min="1" max="1" width="15.08203125" bestFit="1" customWidth="1"/>
    <col min="2" max="2" width="2.75" bestFit="1" customWidth="1"/>
    <col min="3" max="3" width="7.75" bestFit="1" customWidth="1"/>
    <col min="4" max="4" width="2.75" bestFit="1" customWidth="1"/>
  </cols>
  <sheetData>
    <row r="3" spans="1:4" x14ac:dyDescent="0.35">
      <c r="A3" s="10" t="s">
        <v>2</v>
      </c>
      <c r="B3" s="11" t="s">
        <v>61</v>
      </c>
      <c r="C3" s="11" t="s">
        <v>59</v>
      </c>
      <c r="D3" s="11" t="s">
        <v>60</v>
      </c>
    </row>
    <row r="4" spans="1:4" x14ac:dyDescent="0.35">
      <c r="A4" s="23" t="s">
        <v>67</v>
      </c>
      <c r="B4" s="12">
        <v>8</v>
      </c>
      <c r="C4" s="13">
        <v>0.16</v>
      </c>
      <c r="D4" s="12">
        <v>8</v>
      </c>
    </row>
    <row r="5" spans="1:4" x14ac:dyDescent="0.35">
      <c r="A5" s="23" t="s">
        <v>68</v>
      </c>
      <c r="B5" s="12">
        <v>13</v>
      </c>
      <c r="C5" s="13">
        <v>0.26</v>
      </c>
      <c r="D5" s="12">
        <v>21</v>
      </c>
    </row>
    <row r="6" spans="1:4" x14ac:dyDescent="0.35">
      <c r="A6" s="23" t="s">
        <v>69</v>
      </c>
      <c r="B6" s="12">
        <v>12</v>
      </c>
      <c r="C6" s="13">
        <v>0.24</v>
      </c>
      <c r="D6" s="12">
        <v>33</v>
      </c>
    </row>
    <row r="7" spans="1:4" x14ac:dyDescent="0.35">
      <c r="A7" s="23" t="s">
        <v>70</v>
      </c>
      <c r="B7" s="12">
        <v>10</v>
      </c>
      <c r="C7" s="13">
        <v>0.2</v>
      </c>
      <c r="D7" s="12">
        <v>43</v>
      </c>
    </row>
    <row r="8" spans="1:4" x14ac:dyDescent="0.35">
      <c r="A8" s="23" t="s">
        <v>71</v>
      </c>
      <c r="B8" s="12">
        <v>5</v>
      </c>
      <c r="C8" s="13">
        <v>0.1</v>
      </c>
      <c r="D8" s="12">
        <v>48</v>
      </c>
    </row>
    <row r="9" spans="1:4" x14ac:dyDescent="0.35">
      <c r="A9" s="23" t="s">
        <v>72</v>
      </c>
      <c r="B9" s="12">
        <v>2</v>
      </c>
      <c r="C9" s="13">
        <v>0.04</v>
      </c>
      <c r="D9" s="12">
        <v>50</v>
      </c>
    </row>
    <row r="10" spans="1:4" x14ac:dyDescent="0.35">
      <c r="A10" s="23" t="s">
        <v>58</v>
      </c>
      <c r="B10" s="12">
        <v>50</v>
      </c>
      <c r="C10" s="13">
        <v>1</v>
      </c>
      <c r="D10" s="12"/>
    </row>
    <row r="13" spans="1:4" x14ac:dyDescent="0.35">
      <c r="A13" s="14" t="s">
        <v>2</v>
      </c>
      <c r="B13" s="15" t="s">
        <v>61</v>
      </c>
    </row>
    <row r="14" spans="1:4" x14ac:dyDescent="0.35">
      <c r="A14" s="24" t="s">
        <v>67</v>
      </c>
      <c r="B14" s="17">
        <v>8</v>
      </c>
    </row>
    <row r="15" spans="1:4" x14ac:dyDescent="0.35">
      <c r="A15" s="24" t="s">
        <v>68</v>
      </c>
      <c r="B15" s="17">
        <v>13</v>
      </c>
    </row>
    <row r="16" spans="1:4" x14ac:dyDescent="0.35">
      <c r="A16" s="24" t="s">
        <v>69</v>
      </c>
      <c r="B16" s="17">
        <v>12</v>
      </c>
    </row>
    <row r="17" spans="1:2" x14ac:dyDescent="0.35">
      <c r="A17" s="24" t="s">
        <v>70</v>
      </c>
      <c r="B17" s="17">
        <v>10</v>
      </c>
    </row>
    <row r="18" spans="1:2" x14ac:dyDescent="0.35">
      <c r="A18" s="24" t="s">
        <v>71</v>
      </c>
      <c r="B18" s="17">
        <v>5</v>
      </c>
    </row>
    <row r="19" spans="1:2" ht="16" thickBot="1" x14ac:dyDescent="0.4">
      <c r="A19" s="24" t="s">
        <v>72</v>
      </c>
      <c r="B19" s="17">
        <v>2</v>
      </c>
    </row>
    <row r="20" spans="1:2" ht="16" thickTop="1" x14ac:dyDescent="0.35">
      <c r="A20" s="25" t="s">
        <v>58</v>
      </c>
      <c r="B20" s="19">
        <v>50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9EBD1-B91E-419B-88E1-89223DF55B6B}">
  <dimension ref="A3:F27"/>
  <sheetViews>
    <sheetView workbookViewId="0">
      <selection activeCell="H9" sqref="H9"/>
    </sheetView>
  </sheetViews>
  <sheetFormatPr defaultRowHeight="15.5" x14ac:dyDescent="0.35"/>
  <cols>
    <col min="1" max="1" width="19.58203125" bestFit="1" customWidth="1"/>
    <col min="2" max="2" width="17.9140625" bestFit="1" customWidth="1"/>
    <col min="3" max="3" width="15.25" bestFit="1" customWidth="1"/>
    <col min="4" max="4" width="12.1640625" bestFit="1" customWidth="1"/>
    <col min="5" max="6" width="11.75" bestFit="1" customWidth="1"/>
    <col min="9" max="10" width="9" customWidth="1"/>
  </cols>
  <sheetData>
    <row r="3" spans="1:6" x14ac:dyDescent="0.35">
      <c r="A3" s="10" t="s">
        <v>82</v>
      </c>
      <c r="B3" s="10" t="s">
        <v>81</v>
      </c>
      <c r="C3" s="11"/>
      <c r="D3" s="11"/>
      <c r="E3" s="11"/>
      <c r="F3" s="11"/>
    </row>
    <row r="4" spans="1:6" x14ac:dyDescent="0.35">
      <c r="A4" s="10" t="s">
        <v>80</v>
      </c>
      <c r="B4" s="11" t="s">
        <v>37</v>
      </c>
      <c r="C4" s="11" t="s">
        <v>26</v>
      </c>
      <c r="D4" s="11" t="s">
        <v>44</v>
      </c>
      <c r="E4" s="11" t="s">
        <v>5</v>
      </c>
      <c r="F4" s="11" t="s">
        <v>58</v>
      </c>
    </row>
    <row r="5" spans="1:6" x14ac:dyDescent="0.35">
      <c r="A5" s="20" t="s">
        <v>83</v>
      </c>
      <c r="B5" s="12"/>
      <c r="C5" s="12">
        <v>8.75</v>
      </c>
      <c r="D5" s="12">
        <v>8</v>
      </c>
      <c r="E5" s="12">
        <v>7</v>
      </c>
      <c r="F5" s="12">
        <v>7.65</v>
      </c>
    </row>
    <row r="6" spans="1:6" x14ac:dyDescent="0.35">
      <c r="A6" s="20" t="s">
        <v>84</v>
      </c>
      <c r="B6" s="12"/>
      <c r="C6" s="12">
        <v>12.5</v>
      </c>
      <c r="D6" s="12">
        <v>12.5</v>
      </c>
      <c r="E6" s="12">
        <v>12</v>
      </c>
      <c r="F6" s="27">
        <v>12.272727272727273</v>
      </c>
    </row>
    <row r="7" spans="1:6" x14ac:dyDescent="0.35">
      <c r="A7" s="20" t="s">
        <v>85</v>
      </c>
      <c r="B7" s="12">
        <v>17.25</v>
      </c>
      <c r="C7" s="12">
        <v>17</v>
      </c>
      <c r="D7" s="27">
        <v>16.833333333333332</v>
      </c>
      <c r="E7" s="12">
        <v>16.75</v>
      </c>
      <c r="F7" s="12">
        <v>17</v>
      </c>
    </row>
    <row r="8" spans="1:6" x14ac:dyDescent="0.35">
      <c r="A8" s="20" t="s">
        <v>86</v>
      </c>
      <c r="B8" s="12">
        <v>22.5</v>
      </c>
      <c r="C8" s="12">
        <v>22.25</v>
      </c>
      <c r="D8" s="12">
        <v>22</v>
      </c>
      <c r="E8" s="12"/>
      <c r="F8" s="12">
        <v>22.25</v>
      </c>
    </row>
    <row r="9" spans="1:6" x14ac:dyDescent="0.35">
      <c r="A9" s="20" t="s">
        <v>87</v>
      </c>
      <c r="B9" s="12">
        <v>27</v>
      </c>
      <c r="C9" s="12">
        <v>28</v>
      </c>
      <c r="D9" s="12"/>
      <c r="E9" s="12">
        <v>26</v>
      </c>
      <c r="F9" s="12">
        <v>27</v>
      </c>
    </row>
    <row r="10" spans="1:6" x14ac:dyDescent="0.35">
      <c r="A10" s="20" t="s">
        <v>88</v>
      </c>
      <c r="B10" s="12">
        <v>30</v>
      </c>
      <c r="C10" s="12"/>
      <c r="D10" s="12"/>
      <c r="E10" s="12"/>
      <c r="F10" s="12">
        <v>30</v>
      </c>
    </row>
    <row r="11" spans="1:6" x14ac:dyDescent="0.35">
      <c r="A11" s="20" t="s">
        <v>89</v>
      </c>
      <c r="B11" s="12">
        <v>40</v>
      </c>
      <c r="C11" s="12"/>
      <c r="D11" s="12"/>
      <c r="E11" s="12"/>
      <c r="F11" s="12">
        <v>40</v>
      </c>
    </row>
    <row r="12" spans="1:6" x14ac:dyDescent="0.35">
      <c r="A12" s="20" t="s">
        <v>58</v>
      </c>
      <c r="B12" s="27">
        <v>23.958333333333332</v>
      </c>
      <c r="C12" s="27">
        <v>17.153846153846153</v>
      </c>
      <c r="D12" s="27">
        <v>14.833333333333334</v>
      </c>
      <c r="E12" s="27">
        <v>11.884615384615385</v>
      </c>
      <c r="F12" s="12">
        <v>16.86</v>
      </c>
    </row>
    <row r="15" spans="1:6" x14ac:dyDescent="0.35">
      <c r="A15" s="10" t="s">
        <v>112</v>
      </c>
      <c r="B15" s="10" t="s">
        <v>81</v>
      </c>
      <c r="C15" s="34"/>
      <c r="D15" s="34"/>
      <c r="E15" s="34"/>
      <c r="F15" s="34"/>
    </row>
    <row r="16" spans="1:6" x14ac:dyDescent="0.35">
      <c r="A16" s="10" t="s">
        <v>80</v>
      </c>
      <c r="B16" s="34" t="s">
        <v>37</v>
      </c>
      <c r="C16" s="34" t="s">
        <v>26</v>
      </c>
      <c r="D16" s="34" t="s">
        <v>44</v>
      </c>
      <c r="E16" s="34" t="s">
        <v>5</v>
      </c>
      <c r="F16" s="34" t="s">
        <v>58</v>
      </c>
    </row>
    <row r="17" spans="1:6" x14ac:dyDescent="0.35">
      <c r="A17" s="23" t="s">
        <v>103</v>
      </c>
      <c r="B17" s="12"/>
      <c r="C17" s="12"/>
      <c r="D17" s="12">
        <v>18</v>
      </c>
      <c r="E17" s="20">
        <v>16.666666666666668</v>
      </c>
      <c r="F17" s="12">
        <v>17</v>
      </c>
    </row>
    <row r="18" spans="1:6" x14ac:dyDescent="0.35">
      <c r="A18" s="23" t="s">
        <v>86</v>
      </c>
      <c r="B18" s="12"/>
      <c r="C18" s="12">
        <v>23</v>
      </c>
      <c r="D18" s="12">
        <v>22.5</v>
      </c>
      <c r="E18" s="20">
        <v>22.666666666666668</v>
      </c>
      <c r="F18" s="20">
        <v>22.714285714285715</v>
      </c>
    </row>
    <row r="19" spans="1:6" x14ac:dyDescent="0.35">
      <c r="A19" s="23" t="s">
        <v>104</v>
      </c>
      <c r="B19" s="12"/>
      <c r="C19" s="12">
        <v>28.5</v>
      </c>
      <c r="D19" s="12">
        <v>28.5</v>
      </c>
      <c r="E19" s="20">
        <v>28.333333333333332</v>
      </c>
      <c r="F19" s="20">
        <v>28.428571428571427</v>
      </c>
    </row>
    <row r="20" spans="1:6" x14ac:dyDescent="0.35">
      <c r="A20" s="23" t="s">
        <v>105</v>
      </c>
      <c r="B20" s="12">
        <v>35</v>
      </c>
      <c r="C20" s="12">
        <v>34.5</v>
      </c>
      <c r="D20" s="12">
        <v>33.5</v>
      </c>
      <c r="E20" s="12">
        <v>35</v>
      </c>
      <c r="F20" s="20">
        <v>34.428571428571431</v>
      </c>
    </row>
    <row r="21" spans="1:6" x14ac:dyDescent="0.35">
      <c r="A21" s="23" t="s">
        <v>106</v>
      </c>
      <c r="B21" s="12">
        <v>39.5</v>
      </c>
      <c r="C21" s="12">
        <v>40.5</v>
      </c>
      <c r="D21" s="20">
        <v>40.666666666666664</v>
      </c>
      <c r="E21" s="12">
        <v>40</v>
      </c>
      <c r="F21" s="12">
        <v>40.25</v>
      </c>
    </row>
    <row r="22" spans="1:6" x14ac:dyDescent="0.35">
      <c r="A22" s="23" t="s">
        <v>107</v>
      </c>
      <c r="B22" s="20">
        <v>46.666666666666664</v>
      </c>
      <c r="C22" s="12">
        <v>46</v>
      </c>
      <c r="D22" s="12">
        <v>48</v>
      </c>
      <c r="E22" s="12"/>
      <c r="F22" s="20">
        <v>46.666666666666664</v>
      </c>
    </row>
    <row r="23" spans="1:6" x14ac:dyDescent="0.35">
      <c r="A23" s="23" t="s">
        <v>108</v>
      </c>
      <c r="B23" s="12">
        <v>54</v>
      </c>
      <c r="C23" s="12">
        <v>51.5</v>
      </c>
      <c r="D23" s="12">
        <v>52</v>
      </c>
      <c r="E23" s="12">
        <v>55</v>
      </c>
      <c r="F23" s="12">
        <v>53</v>
      </c>
    </row>
    <row r="24" spans="1:6" x14ac:dyDescent="0.35">
      <c r="A24" s="23" t="s">
        <v>109</v>
      </c>
      <c r="B24" s="12">
        <v>59.5</v>
      </c>
      <c r="C24" s="12">
        <v>60</v>
      </c>
      <c r="D24" s="12"/>
      <c r="E24" s="12"/>
      <c r="F24" s="20">
        <v>59.666666666666664</v>
      </c>
    </row>
    <row r="25" spans="1:6" x14ac:dyDescent="0.35">
      <c r="A25" s="23" t="s">
        <v>110</v>
      </c>
      <c r="B25" s="12">
        <v>65</v>
      </c>
      <c r="C25" s="12"/>
      <c r="D25" s="12"/>
      <c r="E25" s="12"/>
      <c r="F25" s="12">
        <v>65</v>
      </c>
    </row>
    <row r="26" spans="1:6" x14ac:dyDescent="0.35">
      <c r="A26" s="23" t="s">
        <v>111</v>
      </c>
      <c r="B26" s="12">
        <v>69</v>
      </c>
      <c r="C26" s="12"/>
      <c r="D26" s="12"/>
      <c r="E26" s="12"/>
      <c r="F26" s="12">
        <v>69</v>
      </c>
    </row>
    <row r="27" spans="1:6" x14ac:dyDescent="0.35">
      <c r="A27" s="23" t="s">
        <v>58</v>
      </c>
      <c r="B27" s="12">
        <v>51.25</v>
      </c>
      <c r="C27" s="20">
        <v>39.07692307692308</v>
      </c>
      <c r="D27" s="20">
        <v>34.083333333333336</v>
      </c>
      <c r="E27" s="20">
        <v>28.307692307692307</v>
      </c>
      <c r="F27" s="12">
        <v>38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7"/>
  <sheetViews>
    <sheetView tabSelected="1" topLeftCell="A19" zoomScale="90" zoomScaleNormal="90" workbookViewId="0">
      <selection activeCell="P87" sqref="P87"/>
    </sheetView>
  </sheetViews>
  <sheetFormatPr defaultRowHeight="15.5" x14ac:dyDescent="0.35"/>
  <cols>
    <col min="2" max="2" width="15.25" bestFit="1" customWidth="1"/>
    <col min="3" max="3" width="17.83203125" bestFit="1" customWidth="1"/>
    <col min="4" max="4" width="12" customWidth="1"/>
    <col min="6" max="6" width="8.58203125" customWidth="1"/>
    <col min="15" max="15" width="9.25" customWidth="1"/>
    <col min="21" max="21" width="18.08203125" customWidth="1"/>
  </cols>
  <sheetData>
    <row r="1" spans="1:4" x14ac:dyDescent="0.35">
      <c r="A1" s="8" t="s">
        <v>0</v>
      </c>
      <c r="B1" s="8" t="s">
        <v>1</v>
      </c>
      <c r="C1" s="8" t="s">
        <v>3</v>
      </c>
      <c r="D1" s="9" t="s">
        <v>2</v>
      </c>
    </row>
    <row r="2" spans="1:4" x14ac:dyDescent="0.35">
      <c r="A2" s="1" t="s">
        <v>4</v>
      </c>
      <c r="B2" s="1" t="s">
        <v>5</v>
      </c>
      <c r="C2" s="3">
        <v>5</v>
      </c>
      <c r="D2" s="5">
        <v>14</v>
      </c>
    </row>
    <row r="3" spans="1:4" x14ac:dyDescent="0.35">
      <c r="A3" s="1" t="s">
        <v>7</v>
      </c>
      <c r="B3" s="1" t="s">
        <v>5</v>
      </c>
      <c r="C3" s="3">
        <v>6</v>
      </c>
      <c r="D3" s="6">
        <v>17</v>
      </c>
    </row>
    <row r="4" spans="1:4" x14ac:dyDescent="0.35">
      <c r="A4" s="1" t="s">
        <v>9</v>
      </c>
      <c r="B4" s="1" t="s">
        <v>5</v>
      </c>
      <c r="C4" s="3">
        <v>7</v>
      </c>
      <c r="D4" s="6">
        <v>19</v>
      </c>
    </row>
    <row r="5" spans="1:4" x14ac:dyDescent="0.35">
      <c r="A5" s="1" t="s">
        <v>11</v>
      </c>
      <c r="B5" s="1" t="s">
        <v>5</v>
      </c>
      <c r="C5" s="3">
        <v>8</v>
      </c>
      <c r="D5" s="6">
        <v>21</v>
      </c>
    </row>
    <row r="6" spans="1:4" x14ac:dyDescent="0.35">
      <c r="A6" s="1" t="s">
        <v>13</v>
      </c>
      <c r="B6" s="1" t="s">
        <v>5</v>
      </c>
      <c r="C6" s="3">
        <v>9</v>
      </c>
      <c r="D6" s="6">
        <v>22</v>
      </c>
    </row>
    <row r="7" spans="1:4" x14ac:dyDescent="0.35">
      <c r="A7" s="1" t="s">
        <v>15</v>
      </c>
      <c r="B7" s="1" t="s">
        <v>5</v>
      </c>
      <c r="C7" s="3">
        <v>10</v>
      </c>
      <c r="D7" s="6">
        <v>25</v>
      </c>
    </row>
    <row r="8" spans="1:4" x14ac:dyDescent="0.35">
      <c r="A8" s="1" t="s">
        <v>17</v>
      </c>
      <c r="B8" s="1" t="s">
        <v>5</v>
      </c>
      <c r="C8" s="3">
        <v>11</v>
      </c>
      <c r="D8" s="6">
        <v>26</v>
      </c>
    </row>
    <row r="9" spans="1:4" x14ac:dyDescent="0.35">
      <c r="A9" s="1" t="s">
        <v>19</v>
      </c>
      <c r="B9" s="1" t="s">
        <v>5</v>
      </c>
      <c r="C9" s="3">
        <v>12</v>
      </c>
      <c r="D9" s="6">
        <v>29</v>
      </c>
    </row>
    <row r="10" spans="1:4" x14ac:dyDescent="0.35">
      <c r="A10" s="1" t="s">
        <v>21</v>
      </c>
      <c r="B10" s="1" t="s">
        <v>5</v>
      </c>
      <c r="C10" s="3">
        <v>13</v>
      </c>
      <c r="D10" s="6">
        <v>30</v>
      </c>
    </row>
    <row r="11" spans="1:4" x14ac:dyDescent="0.35">
      <c r="A11" s="1" t="s">
        <v>23</v>
      </c>
      <c r="B11" s="1" t="s">
        <v>5</v>
      </c>
      <c r="C11" s="3">
        <v>14</v>
      </c>
      <c r="D11" s="6">
        <v>33</v>
      </c>
    </row>
    <row r="12" spans="1:4" x14ac:dyDescent="0.35">
      <c r="A12" s="1" t="s">
        <v>25</v>
      </c>
      <c r="B12" s="1" t="s">
        <v>26</v>
      </c>
      <c r="C12" s="3">
        <v>8</v>
      </c>
      <c r="D12" s="6">
        <v>22</v>
      </c>
    </row>
    <row r="13" spans="1:4" x14ac:dyDescent="0.35">
      <c r="A13" s="1" t="s">
        <v>27</v>
      </c>
      <c r="B13" s="1" t="s">
        <v>26</v>
      </c>
      <c r="C13" s="3">
        <v>9.5</v>
      </c>
      <c r="D13" s="6">
        <v>24</v>
      </c>
    </row>
    <row r="14" spans="1:4" x14ac:dyDescent="0.35">
      <c r="A14" s="1" t="s">
        <v>29</v>
      </c>
      <c r="B14" s="1" t="s">
        <v>26</v>
      </c>
      <c r="C14" s="3">
        <v>11</v>
      </c>
      <c r="D14" s="6">
        <v>27</v>
      </c>
    </row>
    <row r="15" spans="1:4" x14ac:dyDescent="0.35">
      <c r="A15" s="1" t="s">
        <v>30</v>
      </c>
      <c r="B15" s="1" t="s">
        <v>26</v>
      </c>
      <c r="C15" s="3">
        <v>12.5</v>
      </c>
      <c r="D15" s="6">
        <v>30</v>
      </c>
    </row>
    <row r="16" spans="1:4" x14ac:dyDescent="0.35">
      <c r="A16" s="1" t="s">
        <v>28</v>
      </c>
      <c r="B16" s="1" t="s">
        <v>26</v>
      </c>
      <c r="C16" s="3">
        <v>14</v>
      </c>
      <c r="D16" s="6">
        <v>33</v>
      </c>
    </row>
    <row r="17" spans="1:4" x14ac:dyDescent="0.35">
      <c r="A17" s="1" t="s">
        <v>32</v>
      </c>
      <c r="B17" s="1" t="s">
        <v>26</v>
      </c>
      <c r="C17" s="3">
        <v>15.5</v>
      </c>
      <c r="D17" s="6">
        <v>36</v>
      </c>
    </row>
    <row r="18" spans="1:4" x14ac:dyDescent="0.35">
      <c r="A18" s="1" t="s">
        <v>33</v>
      </c>
      <c r="B18" s="1" t="s">
        <v>26</v>
      </c>
      <c r="C18" s="3">
        <v>17</v>
      </c>
      <c r="D18" s="6">
        <v>39</v>
      </c>
    </row>
    <row r="19" spans="1:4" x14ac:dyDescent="0.35">
      <c r="A19" s="1" t="s">
        <v>31</v>
      </c>
      <c r="B19" s="1" t="s">
        <v>26</v>
      </c>
      <c r="C19" s="3">
        <v>18.5</v>
      </c>
      <c r="D19" s="6">
        <v>42</v>
      </c>
    </row>
    <row r="20" spans="1:4" x14ac:dyDescent="0.35">
      <c r="A20" s="1" t="s">
        <v>34</v>
      </c>
      <c r="B20" s="1" t="s">
        <v>26</v>
      </c>
      <c r="C20" s="3">
        <v>20</v>
      </c>
      <c r="D20" s="6">
        <v>45</v>
      </c>
    </row>
    <row r="21" spans="1:4" x14ac:dyDescent="0.35">
      <c r="A21" s="1" t="s">
        <v>35</v>
      </c>
      <c r="B21" s="1" t="s">
        <v>26</v>
      </c>
      <c r="C21" s="3">
        <v>21.5</v>
      </c>
      <c r="D21" s="6">
        <v>47</v>
      </c>
    </row>
    <row r="22" spans="1:4" x14ac:dyDescent="0.35">
      <c r="A22" s="1" t="s">
        <v>36</v>
      </c>
      <c r="B22" s="1" t="s">
        <v>37</v>
      </c>
      <c r="C22" s="3">
        <v>15</v>
      </c>
      <c r="D22" s="6">
        <v>35</v>
      </c>
    </row>
    <row r="23" spans="1:4" x14ac:dyDescent="0.35">
      <c r="A23" s="1" t="s">
        <v>38</v>
      </c>
      <c r="B23" s="1" t="s">
        <v>37</v>
      </c>
      <c r="C23" s="3">
        <v>16.5</v>
      </c>
      <c r="D23" s="6">
        <v>38</v>
      </c>
    </row>
    <row r="24" spans="1:4" x14ac:dyDescent="0.35">
      <c r="A24" s="1" t="s">
        <v>40</v>
      </c>
      <c r="B24" s="1" t="s">
        <v>37</v>
      </c>
      <c r="C24" s="3">
        <v>18</v>
      </c>
      <c r="D24" s="6">
        <v>41</v>
      </c>
    </row>
    <row r="25" spans="1:4" x14ac:dyDescent="0.35">
      <c r="A25" s="1" t="s">
        <v>39</v>
      </c>
      <c r="B25" s="1" t="s">
        <v>37</v>
      </c>
      <c r="C25" s="3">
        <v>19.5</v>
      </c>
      <c r="D25" s="6">
        <v>44</v>
      </c>
    </row>
    <row r="26" spans="1:4" x14ac:dyDescent="0.35">
      <c r="A26" s="1" t="s">
        <v>14</v>
      </c>
      <c r="B26" s="1" t="s">
        <v>37</v>
      </c>
      <c r="C26" s="3">
        <v>21</v>
      </c>
      <c r="D26" s="6">
        <v>47</v>
      </c>
    </row>
    <row r="27" spans="1:4" x14ac:dyDescent="0.35">
      <c r="A27" s="1" t="s">
        <v>41</v>
      </c>
      <c r="B27" s="1" t="s">
        <v>37</v>
      </c>
      <c r="C27" s="3">
        <v>22.5</v>
      </c>
      <c r="D27" s="6">
        <v>49</v>
      </c>
    </row>
    <row r="28" spans="1:4" x14ac:dyDescent="0.35">
      <c r="A28" s="1" t="s">
        <v>42</v>
      </c>
      <c r="B28" s="1" t="s">
        <v>37</v>
      </c>
      <c r="C28" s="3">
        <v>24</v>
      </c>
      <c r="D28" s="6">
        <v>53</v>
      </c>
    </row>
    <row r="29" spans="1:4" x14ac:dyDescent="0.35">
      <c r="A29" s="1" t="s">
        <v>8</v>
      </c>
      <c r="B29" s="1" t="s">
        <v>37</v>
      </c>
      <c r="C29" s="3">
        <v>25.5</v>
      </c>
      <c r="D29" s="6">
        <v>55</v>
      </c>
    </row>
    <row r="30" spans="1:4" x14ac:dyDescent="0.35">
      <c r="A30" s="1" t="s">
        <v>22</v>
      </c>
      <c r="B30" s="1" t="s">
        <v>37</v>
      </c>
      <c r="C30" s="3">
        <v>27</v>
      </c>
      <c r="D30" s="6">
        <v>58</v>
      </c>
    </row>
    <row r="31" spans="1:4" x14ac:dyDescent="0.35">
      <c r="A31" s="1" t="s">
        <v>12</v>
      </c>
      <c r="B31" s="1" t="s">
        <v>37</v>
      </c>
      <c r="C31" s="3">
        <v>28.5</v>
      </c>
      <c r="D31" s="6">
        <v>61</v>
      </c>
    </row>
    <row r="32" spans="1:4" x14ac:dyDescent="0.35">
      <c r="A32" s="1" t="s">
        <v>43</v>
      </c>
      <c r="B32" s="1" t="s">
        <v>44</v>
      </c>
      <c r="C32" s="3">
        <v>6.5</v>
      </c>
      <c r="D32" s="6">
        <v>18</v>
      </c>
    </row>
    <row r="33" spans="1:16" x14ac:dyDescent="0.35">
      <c r="A33" s="1" t="s">
        <v>45</v>
      </c>
      <c r="B33" s="1" t="s">
        <v>44</v>
      </c>
      <c r="C33" s="3">
        <v>8</v>
      </c>
      <c r="D33" s="6">
        <v>21</v>
      </c>
    </row>
    <row r="34" spans="1:16" x14ac:dyDescent="0.35">
      <c r="A34" s="1" t="s">
        <v>18</v>
      </c>
      <c r="B34" s="1" t="s">
        <v>44</v>
      </c>
      <c r="C34" s="3">
        <v>9.5</v>
      </c>
      <c r="D34" s="6">
        <v>24</v>
      </c>
    </row>
    <row r="35" spans="1:16" x14ac:dyDescent="0.35">
      <c r="A35" s="1" t="s">
        <v>46</v>
      </c>
      <c r="B35" s="1" t="s">
        <v>44</v>
      </c>
      <c r="C35" s="3">
        <v>11</v>
      </c>
      <c r="D35" s="6">
        <v>28</v>
      </c>
    </row>
    <row r="36" spans="1:16" x14ac:dyDescent="0.35">
      <c r="A36" s="1" t="s">
        <v>6</v>
      </c>
      <c r="B36" s="1" t="s">
        <v>44</v>
      </c>
      <c r="C36" s="3">
        <v>12.5</v>
      </c>
      <c r="D36" s="6">
        <v>29</v>
      </c>
    </row>
    <row r="37" spans="1:16" x14ac:dyDescent="0.35">
      <c r="A37" s="1" t="s">
        <v>24</v>
      </c>
      <c r="B37" s="1" t="s">
        <v>44</v>
      </c>
      <c r="C37" s="3">
        <v>14</v>
      </c>
      <c r="D37" s="6">
        <v>32</v>
      </c>
    </row>
    <row r="38" spans="1:16" x14ac:dyDescent="0.35">
      <c r="A38" s="1" t="s">
        <v>47</v>
      </c>
      <c r="B38" s="1" t="s">
        <v>44</v>
      </c>
      <c r="C38" s="3">
        <v>15.5</v>
      </c>
      <c r="D38" s="6">
        <v>35</v>
      </c>
    </row>
    <row r="39" spans="1:16" x14ac:dyDescent="0.35">
      <c r="A39" s="1" t="s">
        <v>20</v>
      </c>
      <c r="B39" s="1" t="s">
        <v>44</v>
      </c>
      <c r="C39" s="3">
        <v>17</v>
      </c>
      <c r="D39" s="6">
        <v>38</v>
      </c>
    </row>
    <row r="40" spans="1:16" x14ac:dyDescent="0.35">
      <c r="A40" s="1" t="s">
        <v>48</v>
      </c>
      <c r="B40" s="1" t="s">
        <v>44</v>
      </c>
      <c r="C40" s="3">
        <v>18</v>
      </c>
      <c r="D40" s="6">
        <v>41</v>
      </c>
    </row>
    <row r="41" spans="1:16" x14ac:dyDescent="0.35">
      <c r="A41" s="1" t="s">
        <v>16</v>
      </c>
      <c r="B41" s="1" t="s">
        <v>44</v>
      </c>
      <c r="C41" s="3">
        <v>20</v>
      </c>
      <c r="D41" s="6">
        <v>43</v>
      </c>
      <c r="L41" s="11"/>
      <c r="M41" s="11"/>
      <c r="N41" s="11"/>
      <c r="O41" s="11"/>
      <c r="P41" s="11"/>
    </row>
    <row r="42" spans="1:16" x14ac:dyDescent="0.35">
      <c r="A42" s="1" t="s">
        <v>49</v>
      </c>
      <c r="B42" s="1" t="s">
        <v>26</v>
      </c>
      <c r="C42" s="3">
        <v>23</v>
      </c>
      <c r="D42" s="6">
        <v>50</v>
      </c>
      <c r="L42" s="11"/>
      <c r="M42" s="11"/>
      <c r="N42" s="11"/>
      <c r="O42" s="11"/>
      <c r="P42" s="11"/>
    </row>
    <row r="43" spans="1:16" x14ac:dyDescent="0.35">
      <c r="A43" s="1" t="s">
        <v>10</v>
      </c>
      <c r="B43" s="1" t="s">
        <v>26</v>
      </c>
      <c r="C43" s="3">
        <v>24.5</v>
      </c>
      <c r="D43" s="6">
        <v>53</v>
      </c>
      <c r="L43" s="11"/>
      <c r="M43" s="11"/>
      <c r="N43" s="11"/>
      <c r="O43" s="11"/>
      <c r="P43" s="11"/>
    </row>
    <row r="44" spans="1:16" x14ac:dyDescent="0.35">
      <c r="A44" s="1" t="s">
        <v>50</v>
      </c>
      <c r="B44" s="1" t="s">
        <v>5</v>
      </c>
      <c r="C44" s="3">
        <v>16</v>
      </c>
      <c r="D44" s="6">
        <v>37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 x14ac:dyDescent="0.35">
      <c r="A45" s="1" t="s">
        <v>51</v>
      </c>
      <c r="B45" s="1" t="s">
        <v>5</v>
      </c>
      <c r="C45" s="3">
        <v>17.5</v>
      </c>
      <c r="D45" s="6">
        <v>40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 x14ac:dyDescent="0.35">
      <c r="A46" s="1" t="s">
        <v>52</v>
      </c>
      <c r="B46" s="1" t="s">
        <v>37</v>
      </c>
      <c r="C46" s="3">
        <v>30</v>
      </c>
      <c r="D46" s="6">
        <v>65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6" x14ac:dyDescent="0.35">
      <c r="A47" s="1" t="s">
        <v>53</v>
      </c>
      <c r="B47" s="1" t="s">
        <v>37</v>
      </c>
      <c r="C47" s="3">
        <v>40</v>
      </c>
      <c r="D47" s="6">
        <v>69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 x14ac:dyDescent="0.35">
      <c r="A48" s="1" t="s">
        <v>54</v>
      </c>
      <c r="B48" s="1" t="s">
        <v>44</v>
      </c>
      <c r="C48" s="3">
        <v>22</v>
      </c>
      <c r="D48" s="6">
        <v>48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22" x14ac:dyDescent="0.35">
      <c r="A49" s="1" t="s">
        <v>55</v>
      </c>
      <c r="B49" s="1" t="s">
        <v>44</v>
      </c>
      <c r="C49" s="3">
        <v>24</v>
      </c>
      <c r="D49" s="6">
        <v>52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22" x14ac:dyDescent="0.35">
      <c r="A50" s="1" t="s">
        <v>56</v>
      </c>
      <c r="B50" s="1" t="s">
        <v>5</v>
      </c>
      <c r="C50" s="3">
        <v>26</v>
      </c>
      <c r="D50" s="6">
        <v>55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22" x14ac:dyDescent="0.35">
      <c r="A51" s="2" t="s">
        <v>57</v>
      </c>
      <c r="B51" s="2" t="s">
        <v>26</v>
      </c>
      <c r="C51" s="4">
        <v>28</v>
      </c>
      <c r="D51" s="7">
        <v>60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22" x14ac:dyDescent="0.35">
      <c r="F52" s="26">
        <v>4</v>
      </c>
      <c r="G52" s="11"/>
      <c r="H52" s="11"/>
      <c r="I52" s="11"/>
      <c r="J52" s="11"/>
      <c r="K52" s="11"/>
      <c r="L52" s="11"/>
      <c r="M52" s="11"/>
      <c r="N52" s="11"/>
      <c r="O52" s="26">
        <v>6</v>
      </c>
      <c r="P52" s="11"/>
      <c r="Q52" s="11"/>
      <c r="R52" s="11"/>
      <c r="S52" s="11"/>
      <c r="T52" s="11"/>
      <c r="U52" s="11"/>
      <c r="V52" s="11"/>
    </row>
    <row r="53" spans="1:22" x14ac:dyDescent="0.35">
      <c r="F53" s="11"/>
      <c r="G53" s="28" t="s">
        <v>73</v>
      </c>
      <c r="H53" s="28" t="s">
        <v>74</v>
      </c>
      <c r="I53" s="28" t="s">
        <v>75</v>
      </c>
      <c r="J53" s="28" t="s">
        <v>76</v>
      </c>
      <c r="K53" s="28" t="s">
        <v>77</v>
      </c>
      <c r="L53" s="28" t="s">
        <v>90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x14ac:dyDescent="0.35">
      <c r="F54" s="28" t="s">
        <v>78</v>
      </c>
      <c r="G54" s="29">
        <f>AVERAGE(C2:C51)</f>
        <v>16.86</v>
      </c>
      <c r="H54" s="28" cm="1">
        <f t="array" ref="H54:H56">_xlfn.MODE.MULT(C2:C51)</f>
        <v>8</v>
      </c>
      <c r="I54" s="29">
        <f>MEDIAN(C2:C51)</f>
        <v>16.25</v>
      </c>
      <c r="J54" s="30">
        <f>_xlfn.VAR.S(C2:C51)</f>
        <v>54.775918367346947</v>
      </c>
      <c r="K54" s="30">
        <f>_xlfn.STDEV.S(C2:C51)</f>
        <v>7.4010754872077174</v>
      </c>
      <c r="L54" s="30">
        <f>K54/G54 *100</f>
        <v>43.897244882608049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x14ac:dyDescent="0.35">
      <c r="F55" s="11"/>
      <c r="G55" s="11"/>
      <c r="H55" s="28">
        <v>11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x14ac:dyDescent="0.35">
      <c r="F56" s="11"/>
      <c r="G56" s="11"/>
      <c r="H56" s="31">
        <v>14</v>
      </c>
      <c r="I56" s="11"/>
      <c r="J56" s="11"/>
      <c r="K56" s="11"/>
      <c r="O56" s="11"/>
      <c r="P56" s="11"/>
      <c r="Q56" s="11"/>
      <c r="R56" s="11"/>
      <c r="S56" s="11"/>
      <c r="T56" s="11"/>
      <c r="U56" s="11"/>
      <c r="V56" s="11"/>
    </row>
    <row r="57" spans="1:22" x14ac:dyDescent="0.35">
      <c r="F57" s="28" t="s">
        <v>79</v>
      </c>
      <c r="G57" s="33">
        <f>AVERAGE(D2:D51)</f>
        <v>38</v>
      </c>
      <c r="H57" s="28" cm="1">
        <f t="array" ref="H57:H68">_xlfn.MODE.MULT(D2:D51)</f>
        <v>21</v>
      </c>
      <c r="I57" s="33">
        <f>MEDIAN(D2:D51)</f>
        <v>37.5</v>
      </c>
      <c r="J57" s="30">
        <f>_xlfn.VAR.S(D2:D51)</f>
        <v>187.67346938775509</v>
      </c>
      <c r="K57" s="30">
        <f>_xlfn.STDEV.S(D2:D51)</f>
        <v>13.699396679699259</v>
      </c>
      <c r="L57" s="30">
        <f>K57/G57 * 100</f>
        <v>36.051043893945419</v>
      </c>
      <c r="O57" s="11"/>
      <c r="P57" s="11"/>
      <c r="Q57" s="11"/>
      <c r="R57" s="11"/>
      <c r="S57" s="11"/>
      <c r="T57" s="11"/>
      <c r="U57" s="11"/>
      <c r="V57" s="11"/>
    </row>
    <row r="58" spans="1:22" x14ac:dyDescent="0.35">
      <c r="F58" s="11"/>
      <c r="G58" s="11"/>
      <c r="H58" s="32">
        <v>22</v>
      </c>
      <c r="I58" s="11"/>
      <c r="J58" s="11"/>
      <c r="K58" s="11"/>
      <c r="O58" s="11"/>
      <c r="P58" s="11"/>
      <c r="Q58" s="11"/>
      <c r="R58" s="11"/>
      <c r="S58" s="11"/>
      <c r="T58" s="11"/>
      <c r="U58" s="11"/>
      <c r="V58" s="11"/>
    </row>
    <row r="59" spans="1:22" x14ac:dyDescent="0.35">
      <c r="F59" s="11"/>
      <c r="G59" s="11"/>
      <c r="H59" s="28">
        <v>29</v>
      </c>
      <c r="I59" s="11"/>
      <c r="J59" s="11"/>
      <c r="K59" s="11"/>
      <c r="O59" s="11"/>
      <c r="P59" s="11"/>
      <c r="Q59" s="11"/>
      <c r="R59" s="11"/>
      <c r="S59" s="11"/>
      <c r="T59" s="11"/>
      <c r="U59" s="11"/>
      <c r="V59" s="11"/>
    </row>
    <row r="60" spans="1:22" x14ac:dyDescent="0.35">
      <c r="F60" s="11"/>
      <c r="G60" s="11"/>
      <c r="H60" s="28">
        <v>30</v>
      </c>
      <c r="I60" s="11"/>
      <c r="J60" s="11"/>
      <c r="K60" s="11"/>
      <c r="O60" s="11"/>
      <c r="P60" s="11"/>
      <c r="Q60" s="11"/>
      <c r="R60" s="11"/>
      <c r="S60" s="11"/>
      <c r="T60" s="11"/>
      <c r="U60" s="11"/>
      <c r="V60" s="11"/>
    </row>
    <row r="61" spans="1:22" x14ac:dyDescent="0.35">
      <c r="F61" s="11"/>
      <c r="G61" s="11"/>
      <c r="H61" s="28">
        <v>33</v>
      </c>
      <c r="I61" s="11"/>
      <c r="J61" s="11"/>
      <c r="K61" s="11"/>
      <c r="O61" s="11"/>
      <c r="P61" s="11"/>
      <c r="Q61" s="11"/>
      <c r="R61" s="11"/>
      <c r="S61" s="11"/>
      <c r="T61" s="11"/>
      <c r="U61" s="11"/>
      <c r="V61" s="11"/>
    </row>
    <row r="62" spans="1:22" x14ac:dyDescent="0.35">
      <c r="F62" s="11"/>
      <c r="G62" s="11"/>
      <c r="H62" s="28">
        <v>24</v>
      </c>
      <c r="I62" s="11"/>
      <c r="J62" s="11"/>
      <c r="K62" s="11"/>
      <c r="O62" s="11"/>
      <c r="P62" s="11"/>
      <c r="Q62" s="11"/>
      <c r="R62" s="11"/>
      <c r="S62" s="11"/>
      <c r="T62" s="11"/>
      <c r="U62" s="11"/>
      <c r="V62" s="11"/>
    </row>
    <row r="63" spans="1:22" x14ac:dyDescent="0.35">
      <c r="F63" s="11"/>
      <c r="G63" s="11"/>
      <c r="H63" s="28">
        <v>47</v>
      </c>
      <c r="I63" s="11"/>
      <c r="J63" s="11"/>
      <c r="K63" s="11"/>
      <c r="O63" s="11"/>
      <c r="P63" s="11"/>
      <c r="Q63" s="11"/>
      <c r="R63" s="11"/>
      <c r="S63" s="11"/>
      <c r="T63" s="11"/>
      <c r="U63" s="11"/>
      <c r="V63" s="11"/>
    </row>
    <row r="64" spans="1:22" x14ac:dyDescent="0.35">
      <c r="F64" s="11"/>
      <c r="G64" s="11"/>
      <c r="H64" s="28">
        <v>35</v>
      </c>
      <c r="I64" s="11"/>
      <c r="J64" s="11"/>
      <c r="K64" s="11"/>
      <c r="O64" s="11"/>
      <c r="P64" s="11"/>
      <c r="Q64" s="11"/>
      <c r="R64" s="11"/>
      <c r="S64" s="11"/>
      <c r="T64" s="11"/>
      <c r="U64" s="11"/>
      <c r="V64" s="11"/>
    </row>
    <row r="65" spans="6:28" x14ac:dyDescent="0.35">
      <c r="F65" s="11"/>
      <c r="G65" s="11"/>
      <c r="H65" s="28">
        <v>38</v>
      </c>
      <c r="I65" s="11"/>
      <c r="J65" s="11"/>
      <c r="K65" s="11"/>
      <c r="O65" s="11"/>
      <c r="P65" s="11"/>
      <c r="Q65" s="11"/>
      <c r="R65" s="11"/>
      <c r="S65" s="11"/>
      <c r="T65" s="11"/>
      <c r="U65" s="11"/>
      <c r="V65" s="11"/>
    </row>
    <row r="66" spans="6:28" x14ac:dyDescent="0.35">
      <c r="F66" s="11"/>
      <c r="G66" s="11"/>
      <c r="H66" s="28">
        <v>41</v>
      </c>
      <c r="I66" s="11"/>
      <c r="J66" s="11"/>
      <c r="K66" s="11"/>
      <c r="O66" s="11"/>
      <c r="P66" s="11"/>
      <c r="Q66" s="11"/>
      <c r="R66" s="11"/>
      <c r="S66" s="11"/>
      <c r="T66" s="11"/>
      <c r="U66" s="11"/>
      <c r="V66" s="11"/>
    </row>
    <row r="67" spans="6:28" x14ac:dyDescent="0.35">
      <c r="F67" s="11"/>
      <c r="G67" s="11"/>
      <c r="H67" s="28">
        <v>53</v>
      </c>
      <c r="I67" s="11"/>
      <c r="J67" s="11"/>
      <c r="K67" s="11"/>
      <c r="O67" s="11"/>
      <c r="P67" s="11"/>
      <c r="Q67" s="11"/>
      <c r="R67" s="11"/>
      <c r="S67" s="11"/>
      <c r="T67" s="11"/>
      <c r="U67" s="11"/>
      <c r="V67" s="11"/>
    </row>
    <row r="68" spans="6:28" x14ac:dyDescent="0.35">
      <c r="F68" s="11"/>
      <c r="G68" s="11"/>
      <c r="H68" s="28">
        <v>55</v>
      </c>
      <c r="I68" s="11"/>
      <c r="J68" s="11"/>
      <c r="K68" s="11"/>
      <c r="O68" s="11"/>
      <c r="P68" s="28" t="s">
        <v>91</v>
      </c>
      <c r="Q68" s="28" t="s">
        <v>92</v>
      </c>
      <c r="R68" s="28" t="s">
        <v>93</v>
      </c>
      <c r="S68" s="28" t="s">
        <v>94</v>
      </c>
      <c r="T68" s="28" t="s">
        <v>95</v>
      </c>
      <c r="U68" s="28" t="s">
        <v>96</v>
      </c>
      <c r="V68" s="11"/>
    </row>
    <row r="69" spans="6:28" x14ac:dyDescent="0.35">
      <c r="O69" s="28" t="s">
        <v>78</v>
      </c>
      <c r="P69" s="28">
        <v>5</v>
      </c>
      <c r="Q69" s="28">
        <v>11</v>
      </c>
      <c r="R69" s="28">
        <v>16</v>
      </c>
      <c r="S69" s="28">
        <v>22.1</v>
      </c>
      <c r="T69" s="28">
        <v>30</v>
      </c>
      <c r="U69" s="30">
        <f>STANDARDIZE(40,G54,K54)</f>
        <v>3.1265726231270037</v>
      </c>
      <c r="V69" s="11"/>
      <c r="W69" s="11"/>
      <c r="X69" s="11"/>
      <c r="Y69" s="11"/>
      <c r="Z69" s="11"/>
      <c r="AA69" s="11"/>
      <c r="AB69" s="11"/>
    </row>
    <row r="70" spans="6:28" x14ac:dyDescent="0.35">
      <c r="O70" s="28" t="s">
        <v>79</v>
      </c>
      <c r="P70" s="28">
        <v>14</v>
      </c>
      <c r="Q70" s="28">
        <v>27</v>
      </c>
      <c r="R70" s="28">
        <v>38</v>
      </c>
      <c r="S70" s="28">
        <v>48</v>
      </c>
      <c r="T70" s="28">
        <v>69</v>
      </c>
      <c r="U70" s="11"/>
      <c r="V70" s="11"/>
      <c r="W70" s="11"/>
      <c r="X70" s="11"/>
      <c r="Y70" s="11"/>
      <c r="Z70" s="11"/>
      <c r="AA70" s="11"/>
      <c r="AB70" s="11"/>
    </row>
    <row r="71" spans="6:28" x14ac:dyDescent="0.35"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6:28" x14ac:dyDescent="0.35">
      <c r="F72" s="26">
        <v>7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6:28" x14ac:dyDescent="0.35"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6:28" x14ac:dyDescent="0.35"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6:28" x14ac:dyDescent="0.35"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6:28" x14ac:dyDescent="0.35"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6:28" x14ac:dyDescent="0.35"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6:28" x14ac:dyDescent="0.35"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6:28" x14ac:dyDescent="0.35"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6:28" x14ac:dyDescent="0.35"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6:19" x14ac:dyDescent="0.35"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 spans="6:19" x14ac:dyDescent="0.35"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 spans="6:19" x14ac:dyDescent="0.35"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 spans="6:19" x14ac:dyDescent="0.35"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 spans="6:19" x14ac:dyDescent="0.35"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 spans="6:19" x14ac:dyDescent="0.35"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 spans="6:19" x14ac:dyDescent="0.35">
      <c r="F87" s="35" t="s">
        <v>97</v>
      </c>
      <c r="G87" s="35"/>
      <c r="H87" s="35"/>
      <c r="I87" s="28">
        <f>CORREL(C2:C51,D2:D51)</f>
        <v>0.99001168508891357</v>
      </c>
      <c r="K87" s="11" t="s">
        <v>98</v>
      </c>
      <c r="L87" s="11"/>
      <c r="M87" s="11"/>
      <c r="N87" s="11"/>
      <c r="O87" s="11"/>
      <c r="P87" s="11"/>
      <c r="Q87" s="11"/>
      <c r="R87" s="11"/>
      <c r="S87" s="11"/>
    </row>
    <row r="88" spans="6:19" x14ac:dyDescent="0.35"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6:19" x14ac:dyDescent="0.35">
      <c r="F89" s="11"/>
      <c r="G89" s="11"/>
      <c r="H89" s="11" t="s">
        <v>100</v>
      </c>
      <c r="I89" s="11" t="s">
        <v>101</v>
      </c>
      <c r="J89" s="11"/>
      <c r="K89" s="11"/>
      <c r="L89" s="11" t="s">
        <v>102</v>
      </c>
      <c r="M89" s="11" t="s">
        <v>99</v>
      </c>
      <c r="N89" s="11"/>
      <c r="O89" s="11"/>
      <c r="P89" s="11"/>
      <c r="Q89" s="11"/>
      <c r="R89" s="11"/>
      <c r="S89" s="11"/>
    </row>
    <row r="90" spans="6:19" x14ac:dyDescent="0.35">
      <c r="F90" s="11"/>
      <c r="G90" s="11" t="s">
        <v>99</v>
      </c>
      <c r="H90" s="11" cm="1">
        <f t="array" ref="H90:I90">LINEST(D2:D51,C2:C51)</f>
        <v>1.8325124253917631</v>
      </c>
      <c r="I90" s="11">
        <v>7.1038405078948763</v>
      </c>
      <c r="J90" s="11"/>
      <c r="K90" s="11"/>
      <c r="L90" s="11">
        <v>40</v>
      </c>
      <c r="M90" s="27">
        <f>H90 *L90 + I90</f>
        <v>80.404337523565388</v>
      </c>
      <c r="N90" s="11"/>
      <c r="O90" s="11"/>
      <c r="P90" s="11"/>
      <c r="Q90" s="11"/>
      <c r="R90" s="11"/>
      <c r="S90" s="11"/>
    </row>
    <row r="91" spans="6:19" x14ac:dyDescent="0.35"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 spans="6:19" x14ac:dyDescent="0.35"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 spans="6:19" x14ac:dyDescent="0.35"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 spans="6:19" x14ac:dyDescent="0.35"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 spans="6:19" x14ac:dyDescent="0.35"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 spans="6:19" x14ac:dyDescent="0.35"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 spans="6:19" x14ac:dyDescent="0.35"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 spans="6:19" x14ac:dyDescent="0.35"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 spans="6:19" x14ac:dyDescent="0.35"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 spans="6:19" x14ac:dyDescent="0.35"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 spans="6:19" x14ac:dyDescent="0.35"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 spans="6:19" x14ac:dyDescent="0.35"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 spans="6:19" x14ac:dyDescent="0.35"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 spans="6:19" x14ac:dyDescent="0.35"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 spans="6:19" x14ac:dyDescent="0.35"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 spans="6:19" x14ac:dyDescent="0.35"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 spans="6:19" x14ac:dyDescent="0.35"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 spans="6:19" x14ac:dyDescent="0.35"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 spans="6:19" x14ac:dyDescent="0.35"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 spans="6:19" x14ac:dyDescent="0.35"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 spans="6:19" x14ac:dyDescent="0.35"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 spans="6:19" x14ac:dyDescent="0.35"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 spans="6:19" x14ac:dyDescent="0.35"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 spans="6:19" x14ac:dyDescent="0.35"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 spans="6:19" x14ac:dyDescent="0.35"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 spans="6:19" x14ac:dyDescent="0.35"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 spans="6:19" x14ac:dyDescent="0.35"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 spans="6:19" x14ac:dyDescent="0.35"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 spans="6:19" x14ac:dyDescent="0.35"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 spans="6:19" x14ac:dyDescent="0.35"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 spans="6:19" x14ac:dyDescent="0.35"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 spans="6:19" x14ac:dyDescent="0.35"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 spans="6:19" x14ac:dyDescent="0.35"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 spans="6:19" x14ac:dyDescent="0.35"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 spans="6:19" x14ac:dyDescent="0.35"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 spans="6:19" x14ac:dyDescent="0.35"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 spans="6:19" x14ac:dyDescent="0.35"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</sheetData>
  <mergeCells count="1">
    <mergeCell ref="F87:H87"/>
  </mergeCells>
  <pageMargins left="0.511811024" right="0.511811024" top="0.78740157499999996" bottom="0.78740157499999996" header="0.31496062000000002" footer="0.31496062000000002"/>
  <ignoredErrors>
    <ignoredError sqref="A1:B1 A51:B51 A2:B2 A3:B3 A4:B4 A5:B5 A6:B6 A7:B7 A8:B8 A9:B9 A10:B10 A11:B11 A12:B12 A13:B13 A14:B14 A15:B15 A16:B16 A17:B17 A18:B18 A19:B19 A20:B20 A21:B21 A22:B22 A23:B23 A24:B24 A25:B25 A26:B26 A27:B27 A28:B28 A29:B29 A30:B30 A31:B31 A32:B32 A33:B33 A34:B34 A35:B35 A36:B36 A37:B37 A38:B38 A39:B39 A40:B40 A41:B41 A42:B42 A43:B43 A44:B44 A45:B45 A46:B46 A47:B47 A48:B48 A49:B49 A50:B50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Areá_Atuação</vt:lpstr>
      <vt:lpstr>Horas_Treinamento</vt:lpstr>
      <vt:lpstr>Tickets_Mês</vt:lpstr>
      <vt:lpstr>4 (a</vt:lpstr>
      <vt:lpstr>Conjunto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silva</dc:creator>
  <cp:lastModifiedBy>Aluno</cp:lastModifiedBy>
  <dcterms:created xsi:type="dcterms:W3CDTF">2026-05-04T19:14:34Z</dcterms:created>
  <dcterms:modified xsi:type="dcterms:W3CDTF">2026-05-12T12:09:31Z</dcterms:modified>
</cp:coreProperties>
</file>