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10569101-0261-497D-8BBB-18D969ACAD1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njunto de Dados" sheetId="1" r:id="rId1"/>
    <sheet name="Tempo_Resolução" sheetId="4" r:id="rId2"/>
    <sheet name="Tipo_Incidente" sheetId="2" r:id="rId3"/>
    <sheet name="BoxPlot" sheetId="3" r:id="rId4"/>
  </sheets>
  <definedNames>
    <definedName name="_xlchart.v1.0" hidden="1">'Conjunto de Dados'!$C$1</definedName>
    <definedName name="_xlchart.v1.1" hidden="1">'Conjunto de Dados'!$C$2:$C$37</definedName>
    <definedName name="_xlchart.v1.2" hidden="1">'Conjunto de Dados'!$D$1</definedName>
    <definedName name="_xlchart.v1.3" hidden="1">'Conjunto de Dados'!$D$2:$D$37</definedName>
  </definedNames>
  <calcPr calcId="191028"/>
  <pivotCaches>
    <pivotCache cacheId="28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M18" i="3"/>
  <c r="F18" i="3"/>
  <c r="J19" i="1" a="1"/>
  <c r="J19" i="1"/>
  <c r="M19" i="1"/>
  <c r="L19" i="1"/>
  <c r="K19" i="1"/>
  <c r="I19" i="1"/>
  <c r="N19" i="1" s="1"/>
  <c r="M12" i="1"/>
  <c r="L12" i="1"/>
  <c r="K12" i="1"/>
  <c r="J12" i="1" a="1"/>
  <c r="J12" i="1" s="1"/>
  <c r="I12" i="1"/>
  <c r="N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<sst xmlns="http://schemas.openxmlformats.org/spreadsheetml/2006/main" count="108" uniqueCount="38">
  <si>
    <t>ID</t>
  </si>
  <si>
    <t>Tipo_Incidente</t>
  </si>
  <si>
    <t>Tempo_Resolução_Horas</t>
  </si>
  <si>
    <t>Sistemas_Afetados</t>
  </si>
  <si>
    <t>Phishing</t>
  </si>
  <si>
    <t>Média</t>
  </si>
  <si>
    <t>Moda</t>
  </si>
  <si>
    <t>Mediana</t>
  </si>
  <si>
    <t>Variância</t>
  </si>
  <si>
    <t>Desv.Padr</t>
  </si>
  <si>
    <t>CV</t>
  </si>
  <si>
    <t>Malware</t>
  </si>
  <si>
    <t>Acesso Não Autorizado</t>
  </si>
  <si>
    <t>Qualitativa nominal</t>
  </si>
  <si>
    <t>Quantitativa contínua</t>
  </si>
  <si>
    <t>Quantitativa discreta</t>
  </si>
  <si>
    <t>Vazamento de Dados</t>
  </si>
  <si>
    <t>Tempo_Resolução</t>
  </si>
  <si>
    <t>fs</t>
  </si>
  <si>
    <t>%</t>
  </si>
  <si>
    <t>fa</t>
  </si>
  <si>
    <t>1,5-6,5</t>
  </si>
  <si>
    <t>6,5-11,5</t>
  </si>
  <si>
    <t>11,5-16,5</t>
  </si>
  <si>
    <t>16,5-21,5</t>
  </si>
  <si>
    <t>21,5-26,5</t>
  </si>
  <si>
    <t>26,5-31,5</t>
  </si>
  <si>
    <t>31,5-36,5</t>
  </si>
  <si>
    <t>Total Geral</t>
  </si>
  <si>
    <t>Mínimo</t>
  </si>
  <si>
    <t>Outlier 1</t>
  </si>
  <si>
    <t>Outlier</t>
  </si>
  <si>
    <t>Q1</t>
  </si>
  <si>
    <t>Escore Z</t>
  </si>
  <si>
    <t>Q2</t>
  </si>
  <si>
    <t>Q3</t>
  </si>
  <si>
    <t>Outlier 2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</si>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</sst>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1F4E79"/>
      <name val="Arial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applyAlignment="1"/>
    <xf numFmtId="0" fontId="0" fillId="0" borderId="0" xfId="0" applyNumberFormat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3" fillId="4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0" xfId="0" applyNumberFormat="1"/>
    <xf numFmtId="0" fontId="0" fillId="0" borderId="13" xfId="0" applyBorder="1"/>
    <xf numFmtId="2" fontId="0" fillId="0" borderId="13" xfId="0" applyNumberFormat="1" applyBorder="1"/>
    <xf numFmtId="0" fontId="0" fillId="0" borderId="15" xfId="0" applyBorder="1"/>
    <xf numFmtId="0" fontId="0" fillId="0" borderId="16" xfId="0" applyBorder="1"/>
    <xf numFmtId="2" fontId="0" fillId="0" borderId="15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8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10" fontId="6" fillId="8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Tipos de 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Tipo_Incidente!$B$11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Tipo_Incidente!$A$12:$A$15</c:f>
              <c:strCache>
                <c:ptCount val="4"/>
                <c:pt idx="0">
                  <c:v>Acesso Não Autorizado</c:v>
                </c:pt>
                <c:pt idx="1">
                  <c:v>Malware</c:v>
                </c:pt>
                <c:pt idx="2">
                  <c:v>Phishing</c:v>
                </c:pt>
                <c:pt idx="3">
                  <c:v>Vazamento de Dados</c:v>
                </c:pt>
              </c:strCache>
            </c:strRef>
          </c:cat>
          <c:val>
            <c:numRef>
              <c:f>Tipo_Incidente!$B$12:$B$15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D-44F8-AF41-18C8E864A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02568"/>
        <c:axId val="33605128"/>
      </c:barChart>
      <c:catAx>
        <c:axId val="3360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05128"/>
        <c:crosses val="autoZero"/>
        <c:auto val="1"/>
        <c:lblAlgn val="ctr"/>
        <c:lblOffset val="100"/>
        <c:noMultiLvlLbl val="0"/>
      </c:catAx>
      <c:valAx>
        <c:axId val="3360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02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Tempo de Resolução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Tempo de Resolução</a:t>
          </a:r>
        </a:p>
      </cx:txPr>
    </cx:title>
    <cx:plotArea>
      <cx:plotAreaRegion>
        <cx:series layoutId="boxWhisker" uniqueId="{00000000-40C1-44E3-9483-AA5EED2CA605}">
          <cx:tx>
            <cx:txData>
              <cx:f>_xlchart.v1.0</cx:f>
              <cx:v>Tempo_Resolução_Horas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Sistemas afetados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Sistemas afetados</a:t>
          </a:r>
        </a:p>
      </cx:txPr>
    </cx:title>
    <cx:plotArea>
      <cx:plotAreaRegion>
        <cx:series layoutId="boxWhisker" uniqueId="{00000000-F183-4DC3-8CFC-C83BC9EB8E14}">
          <cx:tx>
            <cx:txData>
              <cx:f>_xlchart.v1.2</cx:f>
              <cx:v>Sistemas_Afetados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0</xdr:rowOff>
    </xdr:from>
    <xdr:to>
      <xdr:col>16</xdr:col>
      <xdr:colOff>342899</xdr:colOff>
      <xdr:row>9</xdr:row>
      <xdr:rowOff>44450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45EF571-0D88-4194-9F6C-336E63C2FC44}"/>
            </a:ext>
          </a:extLst>
        </xdr:cNvPr>
        <xdr:cNvSpPr/>
      </xdr:nvSpPr>
      <xdr:spPr>
        <a:xfrm>
          <a:off x="6184900" y="381000"/>
          <a:ext cx="7061199" cy="18732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pt-BR" sz="1200"/>
            <a:t>Uma empresa de TI registrou 40 incidentes de segurança ocorridos no último semestre. Ela deseja analisar esses 40 casos para identificar</a:t>
          </a:r>
          <a:r>
            <a:rPr lang="pt-BR" sz="1200" baseline="0"/>
            <a:t> </a:t>
          </a:r>
          <a:r>
            <a:rPr lang="pt-BR" sz="1200"/>
            <a:t>padrões e melhorar o tempo de resposta. Para isso foi</a:t>
          </a:r>
          <a:r>
            <a:rPr lang="pt-BR" sz="1200" baseline="0"/>
            <a:t> coletado um conjunto de dados contendo três variáveis: </a:t>
          </a:r>
          <a:r>
            <a:rPr lang="pt-BR" sz="1200" b="1" baseline="0"/>
            <a:t>Tipo_Incidente</a:t>
          </a:r>
          <a:r>
            <a:rPr lang="pt-BR" sz="1200" b="0" baseline="0"/>
            <a:t>, sendo o tipo específico de incidente de segurança; </a:t>
          </a:r>
          <a:r>
            <a:rPr lang="pt-BR" sz="1200" b="1" baseline="0"/>
            <a:t>Tempo_Resolução_Horas</a:t>
          </a:r>
          <a:r>
            <a:rPr lang="pt-BR" sz="1200" b="0" baseline="0"/>
            <a:t>, horas necessárias para resolver o incidente e </a:t>
          </a:r>
          <a:r>
            <a:rPr lang="pt-BR" sz="1200" b="1" baseline="0"/>
            <a:t>Sistemas_Afetados</a:t>
          </a:r>
          <a:r>
            <a:rPr lang="pt-BR" sz="1200" b="0" baseline="0"/>
            <a:t>, quantidade de sistemas que foram afetados.</a:t>
          </a:r>
          <a:endParaRPr lang="pt-BR" sz="1200" b="1">
            <a:effectLst/>
          </a:endParaRPr>
        </a:p>
        <a:p>
          <a:pPr eaLnBrk="1" fontAlgn="auto" latinLnBrk="0" hangingPunct="1"/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1">
            <a:effectLst/>
          </a:endParaRPr>
        </a:p>
        <a:p>
          <a:pPr algn="l"/>
          <a:endParaRPr lang="pt-B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pt-B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9525</xdr:rowOff>
    </xdr:from>
    <xdr:to>
      <xdr:col>10</xdr:col>
      <xdr:colOff>285750</xdr:colOff>
      <xdr:row>13</xdr:row>
      <xdr:rowOff>66675</xdr:rowOff>
    </xdr:to>
    <xdr:graphicFrame macro="">
      <xdr:nvGraphicFramePr>
        <xdr:cNvPr id="21" name="Gráfico 7">
          <a:extLst>
            <a:ext uri="{FF2B5EF4-FFF2-40B4-BE49-F238E27FC236}">
              <a16:creationId xmlns:a16="http://schemas.microsoft.com/office/drawing/2014/main" id="{9FC5BC39-8380-309B-4EBE-68C9286A2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238125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1">
              <a:extLst>
                <a:ext uri="{FF2B5EF4-FFF2-40B4-BE49-F238E27FC236}">
                  <a16:creationId xmlns:a16="http://schemas.microsoft.com/office/drawing/2014/main" id="{0057E8B2-D3ED-425B-9E31-0C9AD57C7CE5}"/>
                </a:ext>
                <a:ext uri="{147F2762-F138-4A5C-976F-8EAC2B608ADB}">
                  <a16:predDERef xmlns:a16="http://schemas.microsoft.com/office/drawing/2014/main" pred="{B45EF571-0D88-4194-9F6C-336E63C2FC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1</xdr:row>
      <xdr:rowOff>0</xdr:rowOff>
    </xdr:from>
    <xdr:to>
      <xdr:col>14</xdr:col>
      <xdr:colOff>342900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Gráfico 2">
              <a:extLst>
                <a:ext uri="{FF2B5EF4-FFF2-40B4-BE49-F238E27FC236}">
                  <a16:creationId xmlns:a16="http://schemas.microsoft.com/office/drawing/2014/main" id="{D11C1B85-542A-48FE-B55F-FEC8566D1D8D}"/>
                </a:ext>
                <a:ext uri="{147F2762-F138-4A5C-976F-8EAC2B608ADB}">
                  <a16:predDERef xmlns:a16="http://schemas.microsoft.com/office/drawing/2014/main" pred="{0057E8B2-D3ED-425B-9E31-0C9AD57C7C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4.478370023149" createdVersion="8" refreshedVersion="8" minRefreshableVersion="3" recordCount="36" xr:uid="{7ABDA10E-C0D3-44FB-937F-CC6EFC361444}">
  <cacheSource type="worksheet">
    <worksheetSource ref="A1:D37" sheet="Conjunto de Dados"/>
  </cacheSource>
  <cacheFields count="4">
    <cacheField name="ID" numFmtId="0">
      <sharedItems containsSemiMixedTypes="0" containsString="0" containsNumber="1" containsInteger="1" minValue="1" maxValue="36"/>
    </cacheField>
    <cacheField name="Tipo_Incidente" numFmtId="0">
      <sharedItems count="4">
        <s v="Phishing"/>
        <s v="Malware"/>
        <s v="Acesso Não Autorizado"/>
        <s v="Vazamento de Dados"/>
      </sharedItems>
    </cacheField>
    <cacheField name="Tempo_Resolução_Horas" numFmtId="0">
      <sharedItems containsSemiMixedTypes="0" containsString="0" containsNumber="1" minValue="1.5" maxValue="30" count="30">
        <n v="2.5"/>
        <n v="3"/>
        <n v="1.5"/>
        <n v="4"/>
        <n v="2"/>
        <n v="3.5"/>
        <n v="5"/>
        <n v="4.5"/>
        <n v="8"/>
        <n v="10.5"/>
        <n v="6.5"/>
        <n v="12"/>
        <n v="9"/>
        <n v="14"/>
        <n v="7.5"/>
        <n v="11"/>
        <n v="16"/>
        <n v="13.5"/>
        <n v="7"/>
        <n v="6"/>
        <n v="8.5"/>
        <n v="13"/>
        <n v="5.5"/>
        <n v="10"/>
        <n v="20"/>
        <n v="24.5"/>
        <n v="18"/>
        <n v="30"/>
        <n v="22"/>
        <n v="27.5"/>
      </sharedItems>
    </cacheField>
    <cacheField name="Sistemas_Afetados" numFmtId="0">
      <sharedItems containsSemiMixedTypes="0" containsString="0" containsNumber="1" containsInteger="1" minValue="1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x v="0"/>
    <x v="0"/>
    <n v="3"/>
  </r>
  <r>
    <n v="2"/>
    <x v="0"/>
    <x v="1"/>
    <n v="2"/>
  </r>
  <r>
    <n v="3"/>
    <x v="0"/>
    <x v="2"/>
    <n v="1"/>
  </r>
  <r>
    <n v="4"/>
    <x v="0"/>
    <x v="3"/>
    <n v="5"/>
  </r>
  <r>
    <n v="5"/>
    <x v="0"/>
    <x v="4"/>
    <n v="2"/>
  </r>
  <r>
    <n v="6"/>
    <x v="0"/>
    <x v="5"/>
    <n v="4"/>
  </r>
  <r>
    <n v="7"/>
    <x v="0"/>
    <x v="6"/>
    <n v="6"/>
  </r>
  <r>
    <n v="8"/>
    <x v="0"/>
    <x v="0"/>
    <n v="3"/>
  </r>
  <r>
    <n v="9"/>
    <x v="0"/>
    <x v="7"/>
    <n v="5"/>
  </r>
  <r>
    <n v="10"/>
    <x v="0"/>
    <x v="1"/>
    <n v="3"/>
  </r>
  <r>
    <n v="11"/>
    <x v="0"/>
    <x v="8"/>
    <n v="10"/>
  </r>
  <r>
    <n v="12"/>
    <x v="0"/>
    <x v="9"/>
    <n v="13"/>
  </r>
  <r>
    <n v="13"/>
    <x v="1"/>
    <x v="10"/>
    <n v="8"/>
  </r>
  <r>
    <n v="14"/>
    <x v="1"/>
    <x v="11"/>
    <n v="15"/>
  </r>
  <r>
    <n v="15"/>
    <x v="1"/>
    <x v="12"/>
    <n v="11"/>
  </r>
  <r>
    <n v="16"/>
    <x v="1"/>
    <x v="13"/>
    <n v="18"/>
  </r>
  <r>
    <n v="17"/>
    <x v="1"/>
    <x v="14"/>
    <n v="9"/>
  </r>
  <r>
    <n v="18"/>
    <x v="1"/>
    <x v="15"/>
    <n v="14"/>
  </r>
  <r>
    <n v="19"/>
    <x v="1"/>
    <x v="16"/>
    <n v="20"/>
  </r>
  <r>
    <n v="20"/>
    <x v="1"/>
    <x v="17"/>
    <n v="17"/>
  </r>
  <r>
    <n v="21"/>
    <x v="2"/>
    <x v="6"/>
    <n v="7"/>
  </r>
  <r>
    <n v="22"/>
    <x v="2"/>
    <x v="18"/>
    <n v="9"/>
  </r>
  <r>
    <n v="23"/>
    <x v="2"/>
    <x v="7"/>
    <n v="6"/>
  </r>
  <r>
    <n v="24"/>
    <x v="2"/>
    <x v="12"/>
    <n v="12"/>
  </r>
  <r>
    <n v="25"/>
    <x v="2"/>
    <x v="19"/>
    <n v="8"/>
  </r>
  <r>
    <n v="26"/>
    <x v="2"/>
    <x v="15"/>
    <n v="14"/>
  </r>
  <r>
    <n v="27"/>
    <x v="2"/>
    <x v="20"/>
    <n v="11"/>
  </r>
  <r>
    <n v="28"/>
    <x v="2"/>
    <x v="21"/>
    <n v="16"/>
  </r>
  <r>
    <n v="29"/>
    <x v="2"/>
    <x v="22"/>
    <n v="7"/>
  </r>
  <r>
    <n v="30"/>
    <x v="2"/>
    <x v="23"/>
    <n v="13"/>
  </r>
  <r>
    <n v="31"/>
    <x v="3"/>
    <x v="24"/>
    <n v="25"/>
  </r>
  <r>
    <n v="32"/>
    <x v="3"/>
    <x v="25"/>
    <n v="30"/>
  </r>
  <r>
    <n v="33"/>
    <x v="3"/>
    <x v="26"/>
    <n v="22"/>
  </r>
  <r>
    <n v="34"/>
    <x v="3"/>
    <x v="27"/>
    <n v="38"/>
  </r>
  <r>
    <n v="35"/>
    <x v="3"/>
    <x v="28"/>
    <n v="27"/>
  </r>
  <r>
    <n v="36"/>
    <x v="3"/>
    <x v="29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10338-EEB8-4FC7-B996-986F78830B81}" name="Tabela dinâmica1" cacheId="2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" firstHeaderRow="0" firstDataRow="1" firstDataCol="1"/>
  <pivotFields count="4">
    <pivotField compact="0" outline="0" showAll="0"/>
    <pivotField axis="axisRow" dataField="1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1" subtotal="count" baseField="0" baseItem="0"/>
    <dataField name="%" fld="1" subtotal="count" showDataAs="percentOfTotal" baseField="0" baseItem="0" numFmtId="10"/>
    <dataField name="fa" fld="1" subtotal="count" showDataAs="runTotal" baseField="1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opLeftCell="C1" workbookViewId="0">
      <selection activeCell="C3" sqref="C3"/>
    </sheetView>
  </sheetViews>
  <sheetFormatPr defaultRowHeight="14.45"/>
  <cols>
    <col min="1" max="1" width="6" customWidth="1"/>
    <col min="2" max="3" width="26" customWidth="1"/>
    <col min="4" max="4" width="22" customWidth="1"/>
    <col min="6" max="6" width="22.85546875" customWidth="1"/>
  </cols>
  <sheetData>
    <row r="1" spans="1:15" ht="30" customHeight="1">
      <c r="A1" s="1" t="s">
        <v>0</v>
      </c>
      <c r="B1" s="18" t="s">
        <v>1</v>
      </c>
      <c r="C1" s="18" t="s">
        <v>2</v>
      </c>
      <c r="D1" s="18" t="s">
        <v>3</v>
      </c>
    </row>
    <row r="2" spans="1:15" ht="18" customHeight="1">
      <c r="A2" s="2">
        <v>1</v>
      </c>
      <c r="B2" s="3" t="s">
        <v>4</v>
      </c>
      <c r="C2" s="2">
        <v>2.5</v>
      </c>
      <c r="D2" s="2">
        <v>3</v>
      </c>
    </row>
    <row r="3" spans="1:15" ht="18" customHeight="1">
      <c r="A3" s="4">
        <v>2</v>
      </c>
      <c r="B3" s="5" t="s">
        <v>4</v>
      </c>
      <c r="C3" s="4">
        <v>3</v>
      </c>
      <c r="D3" s="4">
        <v>2</v>
      </c>
      <c r="O3" s="6"/>
    </row>
    <row r="4" spans="1:15" ht="18" customHeight="1">
      <c r="A4" s="2">
        <v>3</v>
      </c>
      <c r="B4" s="3" t="s">
        <v>4</v>
      </c>
      <c r="C4" s="2">
        <v>1.5</v>
      </c>
      <c r="D4" s="2">
        <v>1</v>
      </c>
      <c r="O4" s="6"/>
    </row>
    <row r="5" spans="1:15" ht="18" customHeight="1">
      <c r="A5" s="4">
        <v>4</v>
      </c>
      <c r="B5" s="5" t="s">
        <v>4</v>
      </c>
      <c r="C5" s="4">
        <v>4</v>
      </c>
      <c r="D5" s="4">
        <v>5</v>
      </c>
      <c r="O5" s="6"/>
    </row>
    <row r="6" spans="1:15" ht="18" customHeight="1">
      <c r="A6" s="2">
        <v>5</v>
      </c>
      <c r="B6" s="3" t="s">
        <v>4</v>
      </c>
      <c r="C6" s="2">
        <v>2</v>
      </c>
      <c r="D6" s="2">
        <v>2</v>
      </c>
      <c r="O6" s="6"/>
    </row>
    <row r="7" spans="1:15" ht="18" customHeight="1">
      <c r="A7" s="4">
        <v>6</v>
      </c>
      <c r="B7" s="5" t="s">
        <v>4</v>
      </c>
      <c r="C7" s="4">
        <v>3.5</v>
      </c>
      <c r="D7" s="4">
        <v>4</v>
      </c>
      <c r="O7" s="6"/>
    </row>
    <row r="8" spans="1:15" ht="18" customHeight="1">
      <c r="A8" s="2">
        <v>7</v>
      </c>
      <c r="B8" s="3" t="s">
        <v>4</v>
      </c>
      <c r="C8" s="2">
        <v>5</v>
      </c>
      <c r="D8" s="2">
        <v>6</v>
      </c>
      <c r="O8" s="6"/>
    </row>
    <row r="9" spans="1:15" ht="18" customHeight="1">
      <c r="A9" s="4">
        <v>8</v>
      </c>
      <c r="B9" s="5" t="s">
        <v>4</v>
      </c>
      <c r="C9" s="4">
        <v>2.5</v>
      </c>
      <c r="D9" s="4">
        <v>3</v>
      </c>
      <c r="O9" s="6"/>
    </row>
    <row r="10" spans="1:15" ht="18" customHeight="1" thickBot="1">
      <c r="A10" s="2">
        <v>9</v>
      </c>
      <c r="B10" s="3" t="s">
        <v>4</v>
      </c>
      <c r="C10" s="2">
        <v>4.5</v>
      </c>
      <c r="D10" s="2">
        <v>5</v>
      </c>
      <c r="O10" s="6"/>
    </row>
    <row r="11" spans="1:15" ht="18" customHeight="1" thickTop="1" thickBot="1">
      <c r="A11" s="4">
        <v>10</v>
      </c>
      <c r="B11" s="5" t="s">
        <v>4</v>
      </c>
      <c r="C11" s="4">
        <v>3</v>
      </c>
      <c r="D11" s="4">
        <v>3</v>
      </c>
      <c r="I11" s="15" t="s">
        <v>5</v>
      </c>
      <c r="J11" s="15" t="s">
        <v>6</v>
      </c>
      <c r="K11" s="15" t="s">
        <v>7</v>
      </c>
      <c r="L11" s="15" t="s">
        <v>8</v>
      </c>
      <c r="M11" s="15" t="s">
        <v>9</v>
      </c>
      <c r="N11" s="15" t="s">
        <v>10</v>
      </c>
      <c r="O11" s="6"/>
    </row>
    <row r="12" spans="1:15" ht="18" customHeight="1" thickTop="1" thickBot="1">
      <c r="A12" s="2">
        <v>11</v>
      </c>
      <c r="B12" s="3" t="s">
        <v>4</v>
      </c>
      <c r="C12" s="2">
        <v>8</v>
      </c>
      <c r="D12" s="2">
        <v>10</v>
      </c>
      <c r="F12" s="19" t="s">
        <v>2</v>
      </c>
      <c r="G12" s="20"/>
      <c r="H12" s="21"/>
      <c r="I12" s="9">
        <f>AVERAGE(C2:C37)</f>
        <v>10.027777777777779</v>
      </c>
      <c r="J12" s="7" cm="1">
        <f t="array" ref="J12:J17">_xlfn.MODE.MULT(C2:C37)</f>
        <v>2.5</v>
      </c>
      <c r="K12" s="7">
        <f>MEDIAN(C2:C37)</f>
        <v>8.25</v>
      </c>
      <c r="L12" s="9">
        <f>_xlfn.VAR.S(C2:C37)</f>
        <v>54.61349206349206</v>
      </c>
      <c r="M12" s="9">
        <f>_xlfn.STDEV.S(C2:C37)</f>
        <v>7.3900941850217352</v>
      </c>
      <c r="N12" s="9">
        <f>M12/I12 * 100</f>
        <v>73.69623009993974</v>
      </c>
      <c r="O12" s="6"/>
    </row>
    <row r="13" spans="1:15" ht="18" customHeight="1" thickTop="1" thickBot="1">
      <c r="A13" s="4">
        <v>12</v>
      </c>
      <c r="B13" s="5" t="s">
        <v>4</v>
      </c>
      <c r="C13" s="4">
        <v>10.5</v>
      </c>
      <c r="D13" s="4">
        <v>13</v>
      </c>
      <c r="I13" s="8"/>
      <c r="J13" s="7">
        <v>3</v>
      </c>
      <c r="K13" s="6"/>
      <c r="L13" s="6"/>
      <c r="M13" s="6"/>
      <c r="N13" s="6"/>
      <c r="O13" s="6"/>
    </row>
    <row r="14" spans="1:15" ht="18" customHeight="1" thickTop="1" thickBot="1">
      <c r="A14" s="2">
        <v>13</v>
      </c>
      <c r="B14" s="3" t="s">
        <v>11</v>
      </c>
      <c r="C14" s="2">
        <v>6.5</v>
      </c>
      <c r="D14" s="2">
        <v>8</v>
      </c>
      <c r="I14" s="8"/>
      <c r="J14" s="7">
        <v>5</v>
      </c>
      <c r="K14" s="6"/>
      <c r="L14" s="6"/>
      <c r="M14" s="6"/>
      <c r="N14" s="6"/>
      <c r="O14" s="6"/>
    </row>
    <row r="15" spans="1:15" ht="18" customHeight="1" thickTop="1" thickBot="1">
      <c r="A15" s="4">
        <v>14</v>
      </c>
      <c r="B15" s="5" t="s">
        <v>11</v>
      </c>
      <c r="C15" s="4">
        <v>12</v>
      </c>
      <c r="D15" s="4">
        <v>15</v>
      </c>
      <c r="I15" s="8"/>
      <c r="J15" s="7">
        <v>4.5</v>
      </c>
      <c r="K15" s="6"/>
      <c r="L15" s="6"/>
      <c r="M15" s="6"/>
      <c r="N15" s="6"/>
      <c r="O15" s="6"/>
    </row>
    <row r="16" spans="1:15" ht="18" customHeight="1" thickTop="1" thickBot="1">
      <c r="A16" s="2">
        <v>15</v>
      </c>
      <c r="B16" s="3" t="s">
        <v>11</v>
      </c>
      <c r="C16" s="2">
        <v>9</v>
      </c>
      <c r="D16" s="2">
        <v>11</v>
      </c>
      <c r="I16" s="8"/>
      <c r="J16" s="7">
        <v>9</v>
      </c>
      <c r="K16" s="6"/>
      <c r="L16" s="6"/>
      <c r="M16" s="6"/>
      <c r="N16" s="6"/>
      <c r="O16" s="6"/>
    </row>
    <row r="17" spans="1:14" ht="18" customHeight="1" thickTop="1" thickBot="1">
      <c r="A17" s="4">
        <v>16</v>
      </c>
      <c r="B17" s="5" t="s">
        <v>11</v>
      </c>
      <c r="C17" s="4">
        <v>14</v>
      </c>
      <c r="D17" s="4">
        <v>18</v>
      </c>
      <c r="I17" s="8"/>
      <c r="J17" s="7">
        <v>11</v>
      </c>
      <c r="K17" s="6"/>
      <c r="L17" s="6"/>
      <c r="M17" s="6"/>
      <c r="N17" s="6"/>
    </row>
    <row r="18" spans="1:14" ht="18" customHeight="1" thickTop="1" thickBot="1">
      <c r="A18" s="2">
        <v>17</v>
      </c>
      <c r="B18" s="3" t="s">
        <v>11</v>
      </c>
      <c r="C18" s="2">
        <v>7.5</v>
      </c>
      <c r="D18" s="2">
        <v>9</v>
      </c>
      <c r="I18" s="8"/>
      <c r="J18" s="10"/>
      <c r="K18" s="6"/>
      <c r="L18" s="6"/>
      <c r="M18" s="6"/>
      <c r="N18" s="6"/>
    </row>
    <row r="19" spans="1:14" ht="18" customHeight="1" thickTop="1" thickBot="1">
      <c r="A19" s="4">
        <v>18</v>
      </c>
      <c r="B19" s="5" t="s">
        <v>11</v>
      </c>
      <c r="C19" s="4">
        <v>11</v>
      </c>
      <c r="D19" s="4">
        <v>14</v>
      </c>
      <c r="F19" s="19" t="s">
        <v>3</v>
      </c>
      <c r="G19" s="20"/>
      <c r="H19" s="21"/>
      <c r="I19" s="11">
        <f>AVERAGE(D2:D37)</f>
        <v>12.444444444444445</v>
      </c>
      <c r="J19" s="7" cm="1">
        <f t="array" ref="J19">_xlfn.MODE.MULT(D2:D37)</f>
        <v>3</v>
      </c>
      <c r="K19" s="12">
        <f>MEDIAN(D2:D37)</f>
        <v>10.5</v>
      </c>
      <c r="L19" s="13">
        <f>_xlfn.VAR.S(D2:D37)</f>
        <v>86.711111111111109</v>
      </c>
      <c r="M19" s="13">
        <f>_xlfn.STDEV.S(D2:D37)</f>
        <v>9.3118801061392062</v>
      </c>
      <c r="N19" s="14">
        <f>M19/I19 * 100</f>
        <v>74.827607995761483</v>
      </c>
    </row>
    <row r="20" spans="1:14" ht="18" customHeight="1" thickTop="1">
      <c r="A20" s="2">
        <v>19</v>
      </c>
      <c r="B20" s="3" t="s">
        <v>11</v>
      </c>
      <c r="C20" s="2">
        <v>16</v>
      </c>
      <c r="D20" s="2">
        <v>20</v>
      </c>
    </row>
    <row r="21" spans="1:14" ht="18" customHeight="1">
      <c r="A21" s="4">
        <v>20</v>
      </c>
      <c r="B21" s="5" t="s">
        <v>11</v>
      </c>
      <c r="C21" s="4">
        <v>13.5</v>
      </c>
      <c r="D21" s="4">
        <v>17</v>
      </c>
    </row>
    <row r="22" spans="1:14" ht="18" customHeight="1">
      <c r="A22" s="2">
        <v>21</v>
      </c>
      <c r="B22" s="3" t="s">
        <v>12</v>
      </c>
      <c r="C22" s="2">
        <v>5</v>
      </c>
      <c r="D22" s="2">
        <v>7</v>
      </c>
      <c r="F22" s="30" t="s">
        <v>1</v>
      </c>
      <c r="G22" s="29" t="s">
        <v>13</v>
      </c>
      <c r="H22" s="29"/>
    </row>
    <row r="23" spans="1:14" ht="18" customHeight="1">
      <c r="A23" s="4">
        <v>22</v>
      </c>
      <c r="B23" s="5" t="s">
        <v>12</v>
      </c>
      <c r="C23" s="4">
        <v>7</v>
      </c>
      <c r="D23" s="4">
        <v>9</v>
      </c>
      <c r="F23" s="30" t="s">
        <v>2</v>
      </c>
      <c r="G23" s="29" t="s">
        <v>14</v>
      </c>
      <c r="H23" s="29"/>
    </row>
    <row r="24" spans="1:14" ht="18" customHeight="1">
      <c r="A24" s="2">
        <v>23</v>
      </c>
      <c r="B24" s="3" t="s">
        <v>12</v>
      </c>
      <c r="C24" s="2">
        <v>4.5</v>
      </c>
      <c r="D24" s="2">
        <v>6</v>
      </c>
      <c r="F24" s="30" t="s">
        <v>3</v>
      </c>
      <c r="G24" s="29" t="s">
        <v>15</v>
      </c>
      <c r="H24" s="29"/>
    </row>
    <row r="25" spans="1:14" ht="18" customHeight="1">
      <c r="A25" s="4">
        <v>24</v>
      </c>
      <c r="B25" s="5" t="s">
        <v>12</v>
      </c>
      <c r="C25" s="4">
        <v>9</v>
      </c>
      <c r="D25" s="4">
        <v>12</v>
      </c>
      <c r="H25" s="22"/>
    </row>
    <row r="26" spans="1:14" ht="18" customHeight="1">
      <c r="A26" s="2">
        <v>25</v>
      </c>
      <c r="B26" s="3" t="s">
        <v>12</v>
      </c>
      <c r="C26" s="2">
        <v>6</v>
      </c>
      <c r="D26" s="2">
        <v>8</v>
      </c>
      <c r="H26" s="22"/>
      <c r="I26" s="22"/>
    </row>
    <row r="27" spans="1:14" ht="18" customHeight="1">
      <c r="A27" s="4">
        <v>26</v>
      </c>
      <c r="B27" s="5" t="s">
        <v>12</v>
      </c>
      <c r="C27" s="4">
        <v>11</v>
      </c>
      <c r="D27" s="4">
        <v>14</v>
      </c>
      <c r="H27" s="22"/>
    </row>
    <row r="28" spans="1:14" ht="18" customHeight="1">
      <c r="A28" s="2">
        <v>27</v>
      </c>
      <c r="B28" s="3" t="s">
        <v>12</v>
      </c>
      <c r="C28" s="2">
        <v>8.5</v>
      </c>
      <c r="D28" s="2">
        <v>11</v>
      </c>
    </row>
    <row r="29" spans="1:14" ht="18" customHeight="1">
      <c r="A29" s="4">
        <v>28</v>
      </c>
      <c r="B29" s="5" t="s">
        <v>12</v>
      </c>
      <c r="C29" s="4">
        <v>13</v>
      </c>
      <c r="D29" s="4">
        <v>16</v>
      </c>
    </row>
    <row r="30" spans="1:14" ht="18" customHeight="1">
      <c r="A30" s="2">
        <v>29</v>
      </c>
      <c r="B30" s="3" t="s">
        <v>12</v>
      </c>
      <c r="C30" s="2">
        <v>5.5</v>
      </c>
      <c r="D30" s="2">
        <v>7</v>
      </c>
    </row>
    <row r="31" spans="1:14" ht="18" customHeight="1">
      <c r="A31" s="4">
        <v>30</v>
      </c>
      <c r="B31" s="5" t="s">
        <v>12</v>
      </c>
      <c r="C31" s="4">
        <v>10</v>
      </c>
      <c r="D31" s="4">
        <v>13</v>
      </c>
    </row>
    <row r="32" spans="1:14" ht="18" customHeight="1">
      <c r="A32" s="2">
        <v>31</v>
      </c>
      <c r="B32" s="3" t="s">
        <v>16</v>
      </c>
      <c r="C32" s="2">
        <v>20</v>
      </c>
      <c r="D32" s="2">
        <v>25</v>
      </c>
    </row>
    <row r="33" spans="1:4" ht="18" customHeight="1">
      <c r="A33" s="4">
        <v>32</v>
      </c>
      <c r="B33" s="5" t="s">
        <v>16</v>
      </c>
      <c r="C33" s="4">
        <v>24.5</v>
      </c>
      <c r="D33" s="4">
        <v>30</v>
      </c>
    </row>
    <row r="34" spans="1:4" ht="18" customHeight="1">
      <c r="A34" s="2">
        <v>33</v>
      </c>
      <c r="B34" s="3" t="s">
        <v>16</v>
      </c>
      <c r="C34" s="2">
        <v>18</v>
      </c>
      <c r="D34" s="2">
        <v>22</v>
      </c>
    </row>
    <row r="35" spans="1:4" ht="18" customHeight="1">
      <c r="A35" s="4">
        <v>34</v>
      </c>
      <c r="B35" s="5" t="s">
        <v>16</v>
      </c>
      <c r="C35" s="4">
        <v>30</v>
      </c>
      <c r="D35" s="4">
        <v>38</v>
      </c>
    </row>
    <row r="36" spans="1:4" ht="18" customHeight="1">
      <c r="A36" s="2">
        <v>35</v>
      </c>
      <c r="B36" s="3" t="s">
        <v>16</v>
      </c>
      <c r="C36" s="2">
        <v>22</v>
      </c>
      <c r="D36" s="2">
        <v>27</v>
      </c>
    </row>
    <row r="37" spans="1:4" ht="18" customHeight="1">
      <c r="A37" s="27">
        <v>36</v>
      </c>
      <c r="B37" s="28" t="s">
        <v>16</v>
      </c>
      <c r="C37" s="27">
        <v>27.5</v>
      </c>
      <c r="D37" s="27">
        <v>34</v>
      </c>
    </row>
    <row r="39" spans="1:4" ht="15"/>
    <row r="40" spans="1:4" ht="15"/>
    <row r="41" spans="1:4" ht="15"/>
    <row r="42" spans="1:4" ht="15"/>
    <row r="43" spans="1:4" ht="15"/>
  </sheetData>
  <mergeCells count="5">
    <mergeCell ref="F12:H12"/>
    <mergeCell ref="F19:H19"/>
    <mergeCell ref="G22:H22"/>
    <mergeCell ref="G23:H23"/>
    <mergeCell ref="G24:H2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28A7-3350-4C21-8D30-615A331E5208}">
  <dimension ref="A3:D22"/>
  <sheetViews>
    <sheetView workbookViewId="0">
      <selection activeCell="A14" sqref="A14:B21"/>
    </sheetView>
  </sheetViews>
  <sheetFormatPr defaultRowHeight="15"/>
  <cols>
    <col min="1" max="1" width="31.28515625" bestFit="1" customWidth="1"/>
    <col min="2" max="93" width="9.140625" bestFit="1" customWidth="1"/>
  </cols>
  <sheetData>
    <row r="3" spans="1:4">
      <c r="A3" s="40" t="s">
        <v>17</v>
      </c>
      <c r="B3" s="40" t="s">
        <v>18</v>
      </c>
      <c r="C3" s="40" t="s">
        <v>19</v>
      </c>
      <c r="D3" s="40" t="s">
        <v>20</v>
      </c>
    </row>
    <row r="4" spans="1:4">
      <c r="A4" s="41" t="s">
        <v>21</v>
      </c>
      <c r="B4" s="41">
        <v>14</v>
      </c>
      <c r="C4" s="42">
        <v>0.35</v>
      </c>
      <c r="D4" s="41">
        <v>14</v>
      </c>
    </row>
    <row r="5" spans="1:4">
      <c r="A5" s="41" t="s">
        <v>22</v>
      </c>
      <c r="B5" s="41">
        <v>11</v>
      </c>
      <c r="C5" s="42">
        <v>0.27500000000000002</v>
      </c>
      <c r="D5" s="41">
        <v>25</v>
      </c>
    </row>
    <row r="6" spans="1:4">
      <c r="A6" s="41" t="s">
        <v>23</v>
      </c>
      <c r="B6" s="41">
        <v>6</v>
      </c>
      <c r="C6" s="42">
        <v>0.15</v>
      </c>
      <c r="D6" s="41">
        <v>31</v>
      </c>
    </row>
    <row r="7" spans="1:4">
      <c r="A7" s="41" t="s">
        <v>24</v>
      </c>
      <c r="B7" s="41">
        <v>3</v>
      </c>
      <c r="C7" s="42">
        <v>7.4999999999999997E-2</v>
      </c>
      <c r="D7" s="41">
        <v>34</v>
      </c>
    </row>
    <row r="8" spans="1:4">
      <c r="A8" s="41" t="s">
        <v>25</v>
      </c>
      <c r="B8" s="41">
        <v>2</v>
      </c>
      <c r="C8" s="42">
        <v>0.05</v>
      </c>
      <c r="D8" s="41">
        <v>36</v>
      </c>
    </row>
    <row r="9" spans="1:4">
      <c r="A9" s="41" t="s">
        <v>26</v>
      </c>
      <c r="B9" s="41">
        <v>3</v>
      </c>
      <c r="C9" s="42">
        <v>7.4999999999999997E-2</v>
      </c>
      <c r="D9" s="41">
        <v>39</v>
      </c>
    </row>
    <row r="10" spans="1:4">
      <c r="A10" s="41" t="s">
        <v>27</v>
      </c>
      <c r="B10" s="41">
        <v>1</v>
      </c>
      <c r="C10" s="42">
        <v>2.5000000000000001E-2</v>
      </c>
      <c r="D10" s="41">
        <v>40</v>
      </c>
    </row>
    <row r="11" spans="1:4">
      <c r="A11" s="43" t="s">
        <v>28</v>
      </c>
      <c r="B11" s="43">
        <v>40</v>
      </c>
      <c r="C11" s="44">
        <v>1</v>
      </c>
      <c r="D11" s="43"/>
    </row>
    <row r="14" spans="1:4">
      <c r="A14" s="40" t="s">
        <v>17</v>
      </c>
      <c r="B14" s="40" t="s">
        <v>18</v>
      </c>
    </row>
    <row r="15" spans="1:4">
      <c r="A15" s="41" t="s">
        <v>21</v>
      </c>
      <c r="B15" s="41">
        <v>14</v>
      </c>
    </row>
    <row r="16" spans="1:4">
      <c r="A16" s="41" t="s">
        <v>22</v>
      </c>
      <c r="B16" s="41">
        <v>11</v>
      </c>
    </row>
    <row r="17" spans="1:2">
      <c r="A17" s="41" t="s">
        <v>23</v>
      </c>
      <c r="B17" s="41">
        <v>6</v>
      </c>
    </row>
    <row r="18" spans="1:2">
      <c r="A18" s="41" t="s">
        <v>24</v>
      </c>
      <c r="B18" s="41">
        <v>3</v>
      </c>
    </row>
    <row r="19" spans="1:2">
      <c r="A19" s="41" t="s">
        <v>25</v>
      </c>
      <c r="B19" s="41">
        <v>2</v>
      </c>
    </row>
    <row r="20" spans="1:2">
      <c r="A20" s="41" t="s">
        <v>26</v>
      </c>
      <c r="B20" s="41">
        <v>3</v>
      </c>
    </row>
    <row r="21" spans="1:2">
      <c r="A21" s="41" t="s">
        <v>27</v>
      </c>
      <c r="B21" s="41">
        <v>1</v>
      </c>
    </row>
    <row r="22" spans="1:2">
      <c r="A22" s="43" t="s">
        <v>28</v>
      </c>
      <c r="B22" s="4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9DE6-1FA5-4CDE-B7A6-0898085D77CF}">
  <dimension ref="A3:D16"/>
  <sheetViews>
    <sheetView workbookViewId="0">
      <selection activeCell="A6" sqref="A6"/>
    </sheetView>
  </sheetViews>
  <sheetFormatPr defaultRowHeight="15"/>
  <cols>
    <col min="1" max="1" width="20.85546875" bestFit="1" customWidth="1"/>
    <col min="2" max="2" width="3" bestFit="1" customWidth="1"/>
    <col min="3" max="3" width="8.42578125" bestFit="1" customWidth="1"/>
    <col min="4" max="4" width="3" customWidth="1"/>
  </cols>
  <sheetData>
    <row r="3" spans="1:4">
      <c r="A3" s="16" t="s">
        <v>1</v>
      </c>
      <c r="B3" s="6" t="s">
        <v>18</v>
      </c>
      <c r="C3" s="6" t="s">
        <v>19</v>
      </c>
      <c r="D3" s="6" t="s">
        <v>20</v>
      </c>
    </row>
    <row r="4" spans="1:4">
      <c r="A4" s="6" t="s">
        <v>12</v>
      </c>
      <c r="B4" s="6">
        <v>10</v>
      </c>
      <c r="C4" s="17">
        <v>0.27777777777777779</v>
      </c>
      <c r="D4" s="6">
        <v>10</v>
      </c>
    </row>
    <row r="5" spans="1:4">
      <c r="A5" s="6" t="s">
        <v>11</v>
      </c>
      <c r="B5" s="6">
        <v>8</v>
      </c>
      <c r="C5" s="17">
        <v>0.22222222222222221</v>
      </c>
      <c r="D5" s="6">
        <v>18</v>
      </c>
    </row>
    <row r="6" spans="1:4">
      <c r="A6" s="6" t="s">
        <v>4</v>
      </c>
      <c r="B6" s="6">
        <v>12</v>
      </c>
      <c r="C6" s="17">
        <v>0.33333333333333331</v>
      </c>
      <c r="D6" s="6">
        <v>30</v>
      </c>
    </row>
    <row r="7" spans="1:4">
      <c r="A7" s="6" t="s">
        <v>16</v>
      </c>
      <c r="B7" s="6">
        <v>6</v>
      </c>
      <c r="C7" s="17">
        <v>0.16666666666666666</v>
      </c>
      <c r="D7" s="6">
        <v>36</v>
      </c>
    </row>
    <row r="8" spans="1:4">
      <c r="A8" s="6" t="s">
        <v>28</v>
      </c>
      <c r="B8" s="6">
        <v>36</v>
      </c>
      <c r="C8" s="17">
        <v>1</v>
      </c>
      <c r="D8" s="6"/>
    </row>
    <row r="11" spans="1:4">
      <c r="A11" s="24" t="s">
        <v>1</v>
      </c>
      <c r="B11" s="24" t="s">
        <v>18</v>
      </c>
    </row>
    <row r="12" spans="1:4">
      <c r="A12" s="6" t="s">
        <v>12</v>
      </c>
      <c r="B12" s="23">
        <v>10</v>
      </c>
    </row>
    <row r="13" spans="1:4">
      <c r="A13" s="6" t="s">
        <v>11</v>
      </c>
      <c r="B13" s="23">
        <v>8</v>
      </c>
    </row>
    <row r="14" spans="1:4">
      <c r="A14" s="6" t="s">
        <v>4</v>
      </c>
      <c r="B14" s="23">
        <v>12</v>
      </c>
    </row>
    <row r="15" spans="1:4">
      <c r="A15" s="6" t="s">
        <v>16</v>
      </c>
      <c r="B15" s="23">
        <v>6</v>
      </c>
    </row>
    <row r="16" spans="1:4">
      <c r="A16" s="25" t="s">
        <v>28</v>
      </c>
      <c r="B16" s="26">
        <v>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882D-9CAD-4335-93A7-F9670B1891F4}">
  <dimension ref="B16:M22"/>
  <sheetViews>
    <sheetView workbookViewId="0"/>
  </sheetViews>
  <sheetFormatPr defaultRowHeight="15"/>
  <sheetData>
    <row r="16" spans="5:13">
      <c r="E16" s="39"/>
      <c r="F16" s="39"/>
      <c r="L16" s="39"/>
      <c r="M16" s="39"/>
    </row>
    <row r="17" spans="2:13">
      <c r="B17" s="32" t="s">
        <v>29</v>
      </c>
      <c r="C17" s="32">
        <v>1.5</v>
      </c>
      <c r="E17" s="35" t="s">
        <v>30</v>
      </c>
      <c r="F17" s="35">
        <v>27.5</v>
      </c>
      <c r="I17" s="32" t="s">
        <v>29</v>
      </c>
      <c r="J17" s="32">
        <v>1</v>
      </c>
      <c r="L17" s="35" t="s">
        <v>31</v>
      </c>
      <c r="M17" s="35">
        <v>38</v>
      </c>
    </row>
    <row r="18" spans="2:13">
      <c r="B18" s="32" t="s">
        <v>32</v>
      </c>
      <c r="C18" s="32">
        <v>4.5</v>
      </c>
      <c r="E18" s="34" t="s">
        <v>33</v>
      </c>
      <c r="F18" s="36">
        <f>(F17-'Conjunto de Dados'!I12)/'Conjunto de Dados'!M12</f>
        <v>2.3642759868520988</v>
      </c>
      <c r="I18" s="32" t="s">
        <v>32</v>
      </c>
      <c r="J18" s="32">
        <v>5.25</v>
      </c>
      <c r="L18" s="34" t="s">
        <v>33</v>
      </c>
      <c r="M18" s="36">
        <f>(M17-'Conjunto de Dados'!I19)/'Conjunto de Dados'!M19</f>
        <v>2.7444034141619906</v>
      </c>
    </row>
    <row r="19" spans="2:13">
      <c r="B19" s="32" t="s">
        <v>34</v>
      </c>
      <c r="C19" s="32">
        <v>8.25</v>
      </c>
      <c r="E19" s="37"/>
      <c r="F19" s="37"/>
      <c r="I19" s="32" t="s">
        <v>34</v>
      </c>
      <c r="J19" s="32">
        <v>10.5</v>
      </c>
      <c r="L19" s="38"/>
      <c r="M19" s="38"/>
    </row>
    <row r="20" spans="2:13">
      <c r="B20" s="32" t="s">
        <v>35</v>
      </c>
      <c r="C20" s="32">
        <v>13.375</v>
      </c>
      <c r="E20" s="35" t="s">
        <v>36</v>
      </c>
      <c r="F20" s="35">
        <v>30</v>
      </c>
      <c r="I20" s="32" t="s">
        <v>35</v>
      </c>
      <c r="J20" s="32">
        <v>16.75</v>
      </c>
    </row>
    <row r="21" spans="2:13">
      <c r="B21" s="34" t="s">
        <v>37</v>
      </c>
      <c r="C21" s="34">
        <v>24</v>
      </c>
      <c r="E21" s="32" t="s">
        <v>33</v>
      </c>
      <c r="F21" s="33">
        <f>(F20-'Conjunto de Dados'!I12)/'Conjunto de Dados'!M12</f>
        <v>2.7025666685956424</v>
      </c>
      <c r="I21" s="34" t="s">
        <v>37</v>
      </c>
      <c r="J21" s="34">
        <v>34</v>
      </c>
      <c r="M21" s="31"/>
    </row>
    <row r="22" spans="2:13">
      <c r="B22" s="38"/>
      <c r="C22" s="38"/>
      <c r="I22" s="38"/>
      <c r="J22" s="3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2026-05-12T13:41:29Z</dcterms:created>
  <dcterms:modified xsi:type="dcterms:W3CDTF">2026-05-12T14:48:32Z</dcterms:modified>
  <cp:category/>
  <cp:contentStatus/>
</cp:coreProperties>
</file>