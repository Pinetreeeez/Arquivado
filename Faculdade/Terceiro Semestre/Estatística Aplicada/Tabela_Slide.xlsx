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Ex1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3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4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5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30A9FF45-5017-4B56-AE90-E6332D7F9CC9}" xr6:coauthVersionLast="47" xr6:coauthVersionMax="47" xr10:uidLastSave="{00000000-0000-0000-0000-000000000000}"/>
  <bookViews>
    <workbookView xWindow="-110" yWindow="-110" windowWidth="19420" windowHeight="10420" activeTab="6" xr2:uid="{00000000-000D-0000-FFFF-FFFF00000000}"/>
  </bookViews>
  <sheets>
    <sheet name="Escolaridade" sheetId="2" r:id="rId1"/>
    <sheet name="Automóvel" sheetId="4" r:id="rId2"/>
    <sheet name="Tempo de Serviço" sheetId="8" r:id="rId3"/>
    <sheet name="Dependentes" sheetId="9" r:id="rId4"/>
    <sheet name="Idade" sheetId="10" r:id="rId5"/>
    <sheet name="Salário" sheetId="11" r:id="rId6"/>
    <sheet name="Amostra" sheetId="1" r:id="rId7"/>
  </sheets>
  <definedNames>
    <definedName name="_xlchart.v1.0" hidden="1">Idade!$A$11:$A$14</definedName>
    <definedName name="_xlchart.v1.1" hidden="1">Idade!$B$11:$B$14</definedName>
    <definedName name="_xlchart.v1.2" hidden="1">Amostra!$B$3:$B$33</definedName>
    <definedName name="_xlchart.v1.3" hidden="1">Amostra!$F$3:$F$33</definedName>
    <definedName name="_xlchart.v1.4" hidden="1">Amostra!$C$3:$C$33</definedName>
    <definedName name="_xlchart.v1.5" hidden="1">Amostra!$F$3:$F$33</definedName>
    <definedName name="_xlchart.v1.6" hidden="1">Amostra!$E$3:$E$33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  <pivotCache cacheId="5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9" i="1" l="1"/>
  <c r="Q5" i="1"/>
  <c r="Q8" i="1"/>
  <c r="P8" i="1"/>
  <c r="O8" i="1"/>
  <c r="Q7" i="1"/>
  <c r="P7" i="1"/>
  <c r="O7" i="1"/>
  <c r="Q6" i="1"/>
  <c r="P6" i="1"/>
  <c r="O6" i="1"/>
  <c r="N6" i="1"/>
  <c r="P5" i="1"/>
  <c r="O5" i="1"/>
  <c r="N7" i="1"/>
  <c r="M7" i="1" a="1"/>
  <c r="M7" i="1" s="1"/>
  <c r="M6" i="1" a="1"/>
  <c r="M6" i="1" s="1"/>
  <c r="N5" i="1"/>
  <c r="M5" i="1" a="1"/>
  <c r="M5" i="1" s="1"/>
  <c r="N8" i="1"/>
  <c r="M8" i="1" a="1"/>
  <c r="M8" i="1" s="1"/>
  <c r="L7" i="1"/>
  <c r="L6" i="1"/>
  <c r="L5" i="1"/>
  <c r="L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<sst xmlns="http://schemas.openxmlformats.org/spreadsheetml/2006/main" count="168" uniqueCount="50">
  <si>
    <t>Idade</t>
  </si>
  <si>
    <t>Escolaridade</t>
  </si>
  <si>
    <t>no. de dependentes</t>
  </si>
  <si>
    <t>Possui automóvel próprio</t>
  </si>
  <si>
    <t>Tempo de Serviço (anos)</t>
  </si>
  <si>
    <t>Médio</t>
  </si>
  <si>
    <t>Superior</t>
  </si>
  <si>
    <t>Fundamental</t>
  </si>
  <si>
    <t>Sim</t>
  </si>
  <si>
    <t>Não</t>
  </si>
  <si>
    <t>Salário R$</t>
  </si>
  <si>
    <t>Rótulos de Linha</t>
  </si>
  <si>
    <t>Total Geral</t>
  </si>
  <si>
    <t>Frequência Simples</t>
  </si>
  <si>
    <t>Porcentagem</t>
  </si>
  <si>
    <t>Frequência Acumulada</t>
  </si>
  <si>
    <t>%</t>
  </si>
  <si>
    <t>Automóveis</t>
  </si>
  <si>
    <t>Tempo de Serviço</t>
  </si>
  <si>
    <t>Frequência Simplês</t>
  </si>
  <si>
    <t>Dependentes</t>
  </si>
  <si>
    <t>18-27</t>
  </si>
  <si>
    <t>28-37</t>
  </si>
  <si>
    <t>38-47</t>
  </si>
  <si>
    <t>48-57</t>
  </si>
  <si>
    <t>1621-2620</t>
  </si>
  <si>
    <t>2621-3620</t>
  </si>
  <si>
    <t>3621-4620</t>
  </si>
  <si>
    <t>4621-5620</t>
  </si>
  <si>
    <t>5621-6620</t>
  </si>
  <si>
    <t>6621-7620</t>
  </si>
  <si>
    <t>fi</t>
  </si>
  <si>
    <t>fac</t>
  </si>
  <si>
    <t>Média</t>
  </si>
  <si>
    <t>Moda</t>
  </si>
  <si>
    <t>Mediana</t>
  </si>
  <si>
    <t>Tempo.S</t>
  </si>
  <si>
    <t>Salário</t>
  </si>
  <si>
    <t>Variância</t>
  </si>
  <si>
    <t>Desvio Padrão</t>
  </si>
  <si>
    <t>CV</t>
  </si>
  <si>
    <t>Q1</t>
  </si>
  <si>
    <t>Q2</t>
  </si>
  <si>
    <t>Q3</t>
  </si>
  <si>
    <t>Minímo</t>
  </si>
  <si>
    <t>Máximo</t>
  </si>
  <si>
    <t>Minimo</t>
  </si>
  <si>
    <t>Mínimo</t>
  </si>
  <si>
    <t>Escor R$ 72500,00</t>
  </si>
  <si>
    <t>outlier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</si>
</sst>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 &quot;* #,##0.00_);_(&quot;R$ &quot;* \(#,##0.00\);_(&quot;R$ &quot;* &quot;-&quot;??_);_(@_)"/>
  </numFmts>
  <fonts count="5" x14ac:knownFonts="1">
    <font>
      <sz val="10"/>
      <name val="Arial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0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wrapText="1"/>
    </xf>
    <xf numFmtId="0" fontId="3" fillId="0" borderId="0" xfId="0" applyFont="1"/>
    <xf numFmtId="0" fontId="0" fillId="0" borderId="0" xfId="0" applyAlignment="1">
      <alignment horizontal="center"/>
    </xf>
    <xf numFmtId="2" fontId="0" fillId="0" borderId="0" xfId="1" applyNumberFormat="1" applyFont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left"/>
    </xf>
    <xf numFmtId="0" fontId="4" fillId="3" borderId="2" xfId="0" applyFont="1" applyFill="1" applyBorder="1"/>
    <xf numFmtId="0" fontId="4" fillId="3" borderId="3" xfId="0" applyFont="1" applyFill="1" applyBorder="1" applyAlignment="1">
      <alignment horizontal="left"/>
    </xf>
    <xf numFmtId="0" fontId="4" fillId="3" borderId="3" xfId="0" applyNumberFormat="1" applyFont="1" applyFill="1" applyBorder="1"/>
    <xf numFmtId="0" fontId="4" fillId="3" borderId="3" xfId="0" applyNumberFormat="1" applyFont="1" applyFill="1" applyBorder="1" applyAlignment="1">
      <alignment horizontal="center"/>
    </xf>
    <xf numFmtId="0" fontId="0" fillId="0" borderId="0" xfId="0" pivotButton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0" borderId="0" xfId="0" applyNumberFormat="1"/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2">
    <cellStyle name="Moeda" xfId="1" builtinId="4"/>
    <cellStyle name="Normal" xfId="0" builtinId="0"/>
  </cellStyles>
  <dxfs count="19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Escolaridade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tint val="50000"/>
                      <a:satMod val="300000"/>
                    </a:schemeClr>
                  </a:gs>
                  <a:gs pos="35000">
                    <a:schemeClr val="accent1">
                      <a:tint val="37000"/>
                      <a:satMod val="300000"/>
                    </a:schemeClr>
                  </a:gs>
                  <a:gs pos="100000">
                    <a:schemeClr val="accent1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3C3-44F3-9E9D-A0CF078843D9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tint val="50000"/>
                      <a:satMod val="300000"/>
                    </a:schemeClr>
                  </a:gs>
                  <a:gs pos="35000">
                    <a:schemeClr val="accent2">
                      <a:tint val="37000"/>
                      <a:satMod val="300000"/>
                    </a:schemeClr>
                  </a:gs>
                  <a:gs pos="100000">
                    <a:schemeClr val="accent2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3C3-44F3-9E9D-A0CF078843D9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tint val="50000"/>
                      <a:satMod val="300000"/>
                    </a:schemeClr>
                  </a:gs>
                  <a:gs pos="35000">
                    <a:schemeClr val="accent3">
                      <a:tint val="37000"/>
                      <a:satMod val="300000"/>
                    </a:schemeClr>
                  </a:gs>
                  <a:gs pos="100000">
                    <a:schemeClr val="accent3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3C3-44F3-9E9D-A0CF078843D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Escolaridade!$A$12:$A$14</c:f>
              <c:strCache>
                <c:ptCount val="3"/>
                <c:pt idx="0">
                  <c:v>Fundamental</c:v>
                </c:pt>
                <c:pt idx="1">
                  <c:v>Médio</c:v>
                </c:pt>
                <c:pt idx="2">
                  <c:v>Superior</c:v>
                </c:pt>
              </c:strCache>
            </c:strRef>
          </c:cat>
          <c:val>
            <c:numRef>
              <c:f>Escolaridade!$B$12:$B$14</c:f>
              <c:numCache>
                <c:formatCode>General</c:formatCode>
                <c:ptCount val="3"/>
                <c:pt idx="0">
                  <c:v>9</c:v>
                </c:pt>
                <c:pt idx="1">
                  <c:v>15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9-417F-B867-810CD559919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Escolaridade!$A$12:$A$14</c:f>
              <c:strCache>
                <c:ptCount val="3"/>
                <c:pt idx="0">
                  <c:v>Fundamental</c:v>
                </c:pt>
                <c:pt idx="1">
                  <c:v>Médio</c:v>
                </c:pt>
                <c:pt idx="2">
                  <c:v>Superior</c:v>
                </c:pt>
              </c:strCache>
            </c:strRef>
          </c:cat>
          <c:val>
            <c:numRef>
              <c:f>Escolaridade!$B$12:$B$14</c:f>
              <c:numCache>
                <c:formatCode>General</c:formatCode>
                <c:ptCount val="3"/>
                <c:pt idx="0">
                  <c:v>9</c:v>
                </c:pt>
                <c:pt idx="1">
                  <c:v>15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32-487C-A4B5-325798EB5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751184400"/>
        <c:axId val="751185360"/>
      </c:barChart>
      <c:catAx>
        <c:axId val="7511844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1185360"/>
        <c:crosses val="autoZero"/>
        <c:auto val="1"/>
        <c:lblAlgn val="ctr"/>
        <c:lblOffset val="100"/>
        <c:noMultiLvlLbl val="0"/>
      </c:catAx>
      <c:valAx>
        <c:axId val="751185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118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Possui</a:t>
            </a:r>
            <a:r>
              <a:rPr lang="pt-BR" baseline="0"/>
              <a:t> automóvel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Automóvel!$A$10:$A$11</c:f>
              <c:strCache>
                <c:ptCount val="2"/>
                <c:pt idx="0">
                  <c:v>Não</c:v>
                </c:pt>
                <c:pt idx="1">
                  <c:v>Sim</c:v>
                </c:pt>
              </c:strCache>
            </c:strRef>
          </c:cat>
          <c:val>
            <c:numRef>
              <c:f>Automóvel!$B$10:$B$11</c:f>
              <c:numCache>
                <c:formatCode>General</c:formatCode>
                <c:ptCount val="2"/>
                <c:pt idx="0">
                  <c:v>9</c:v>
                </c:pt>
                <c:pt idx="1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B4-412F-9EDC-37C02D7A4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3390400"/>
        <c:axId val="953392320"/>
      </c:barChart>
      <c:catAx>
        <c:axId val="9533904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3392320"/>
        <c:crosses val="autoZero"/>
        <c:auto val="1"/>
        <c:lblAlgn val="ctr"/>
        <c:lblOffset val="100"/>
        <c:noMultiLvlLbl val="0"/>
      </c:catAx>
      <c:valAx>
        <c:axId val="95339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339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Possui</a:t>
            </a:r>
            <a:r>
              <a:rPr lang="pt-BR" baseline="0"/>
              <a:t> automóvel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24-4BE7-B685-DDC0DC9AB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24-4BE7-B685-DDC0DC9AB387}"/>
              </c:ext>
            </c:extLst>
          </c:dPt>
          <c:cat>
            <c:strRef>
              <c:f>Automóvel!$A$10:$A$11</c:f>
              <c:strCache>
                <c:ptCount val="2"/>
                <c:pt idx="0">
                  <c:v>Não</c:v>
                </c:pt>
                <c:pt idx="1">
                  <c:v>Sim</c:v>
                </c:pt>
              </c:strCache>
            </c:strRef>
          </c:cat>
          <c:val>
            <c:numRef>
              <c:f>Automóvel!$B$10:$B$11</c:f>
              <c:numCache>
                <c:formatCode>General</c:formatCode>
                <c:ptCount val="2"/>
                <c:pt idx="0">
                  <c:v>9</c:v>
                </c:pt>
                <c:pt idx="1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BA-40C4-9A12-7BF3F71FA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'Tempo de Serviço'!$A$11:$A$14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'Tempo de Serviço'!$B$11:$B$14</c:f>
              <c:numCache>
                <c:formatCode>General</c:formatCode>
                <c:ptCount val="4"/>
                <c:pt idx="0">
                  <c:v>10</c:v>
                </c:pt>
                <c:pt idx="1">
                  <c:v>11</c:v>
                </c:pt>
                <c:pt idx="2">
                  <c:v>8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7-424B-9902-A40CD8C36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3205680"/>
        <c:axId val="913206160"/>
      </c:barChart>
      <c:catAx>
        <c:axId val="91320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3206160"/>
        <c:crosses val="autoZero"/>
        <c:auto val="1"/>
        <c:lblAlgn val="ctr"/>
        <c:lblOffset val="100"/>
        <c:noMultiLvlLbl val="0"/>
      </c:catAx>
      <c:valAx>
        <c:axId val="91320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320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'Tempo de Serviço'!$A$11:$A$14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'Tempo de Serviço'!$B$11:$B$14</c:f>
              <c:numCache>
                <c:formatCode>General</c:formatCode>
                <c:ptCount val="4"/>
                <c:pt idx="0">
                  <c:v>10</c:v>
                </c:pt>
                <c:pt idx="1">
                  <c:v>11</c:v>
                </c:pt>
                <c:pt idx="2">
                  <c:v>8</c:v>
                </c:pt>
                <c:pt idx="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9-47A2-9BFF-45530FDA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5601312"/>
        <c:axId val="965599392"/>
      </c:lineChart>
      <c:catAx>
        <c:axId val="965601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5599392"/>
        <c:crosses val="autoZero"/>
        <c:auto val="1"/>
        <c:lblAlgn val="ctr"/>
        <c:lblOffset val="100"/>
        <c:noMultiLvlLbl val="0"/>
      </c:catAx>
      <c:valAx>
        <c:axId val="96559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5601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Dependentes!$A$12:$A$16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Dependentes!$B$12:$B$16</c:f>
              <c:numCache>
                <c:formatCode>General</c:formatCode>
                <c:ptCount val="5"/>
                <c:pt idx="0">
                  <c:v>8</c:v>
                </c:pt>
                <c:pt idx="1">
                  <c:v>12</c:v>
                </c:pt>
                <c:pt idx="2">
                  <c:v>6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C-43FF-918E-239D1A8C39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921250128"/>
        <c:axId val="921249648"/>
      </c:lineChart>
      <c:catAx>
        <c:axId val="92125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249648"/>
        <c:crosses val="autoZero"/>
        <c:auto val="1"/>
        <c:lblAlgn val="ctr"/>
        <c:lblOffset val="100"/>
        <c:noMultiLvlLbl val="0"/>
      </c:catAx>
      <c:valAx>
        <c:axId val="921249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25012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Dependentes!$A$12:$A$16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Dependentes!$B$12:$B$16</c:f>
              <c:numCache>
                <c:formatCode>General</c:formatCode>
                <c:ptCount val="5"/>
                <c:pt idx="0">
                  <c:v>8</c:v>
                </c:pt>
                <c:pt idx="1">
                  <c:v>12</c:v>
                </c:pt>
                <c:pt idx="2">
                  <c:v>6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E9-4AC2-9292-26A8AABC011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20547680"/>
        <c:axId val="920548160"/>
      </c:barChart>
      <c:catAx>
        <c:axId val="92054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0548160"/>
        <c:crosses val="autoZero"/>
        <c:auto val="1"/>
        <c:lblAlgn val="ctr"/>
        <c:lblOffset val="100"/>
        <c:noMultiLvlLbl val="0"/>
      </c:catAx>
      <c:valAx>
        <c:axId val="92054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0547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Idade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Idade</a:t>
          </a:r>
        </a:p>
      </cx:txPr>
    </cx:title>
    <cx:plotArea>
      <cx:plotAreaRegion>
        <cx:series layoutId="clusteredColumn" uniqueId="{2B90FD8A-6F7C-4F82-8422-0F264CE79678}">
          <cx:dataId val="0"/>
          <cx:layoutPr>
            <cx:aggregation/>
          </cx:layoutPr>
          <cx:axisId val="1"/>
        </cx:series>
        <cx:series layoutId="paretoLine" ownerIdx="0" uniqueId="{246C935D-FC32-4054-8800-4715F392439E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Idade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Idade</a:t>
          </a:r>
        </a:p>
      </cx:txPr>
    </cx:title>
    <cx:plotArea>
      <cx:plotAreaRegion>
        <cx:series layoutId="boxWhisker" uniqueId="{32C8419E-7D36-4AB7-9F8C-65822A173D88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Tempo de Serviço (anos)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Tempo de Serviço (anos)</a:t>
          </a:r>
        </a:p>
      </cx:txPr>
    </cx:title>
    <cx:plotArea>
      <cx:plotAreaRegion>
        <cx:series layoutId="boxWhisker" uniqueId="{3DFAE7E3-64E1-4376-8C0E-2D9C72274BB8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Salário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Salário</a:t>
          </a:r>
        </a:p>
      </cx:txPr>
    </cx:title>
    <cx:plotArea>
      <cx:plotAreaRegion>
        <cx:series layoutId="boxWhisker" uniqueId="{8A4B672D-77AF-486D-A553-345DD875A63B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Numero de Dependentes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Numero de Dependentes</a:t>
          </a:r>
        </a:p>
      </cx:txPr>
    </cx:title>
    <cx:plotArea>
      <cx:plotAreaRegion>
        <cx:series layoutId="boxWhisker" uniqueId="{BF0B8CDC-5A7D-4CC6-B7B7-4EBC0E79CFE3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3" Type="http://schemas.microsoft.com/office/2014/relationships/chartEx" Target="../charts/chartEx4.xml"/><Relationship Id="rId2" Type="http://schemas.microsoft.com/office/2014/relationships/chartEx" Target="../charts/chartEx3.xml"/><Relationship Id="rId1" Type="http://schemas.microsoft.com/office/2014/relationships/chartEx" Target="../charts/chartEx2.xml"/><Relationship Id="rId4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454025</xdr:colOff>
      <xdr:row>2</xdr:row>
      <xdr:rowOff>0</xdr:rowOff>
    </xdr:from>
    <xdr:to>
      <xdr:col>9</xdr:col>
      <xdr:colOff>542925</xdr:colOff>
      <xdr:row>19</xdr:row>
      <xdr:rowOff>31750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4CD52F8-189F-3E8F-0285-C3273FC37B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492125</xdr:colOff>
      <xdr:row>19</xdr:row>
      <xdr:rowOff>101600</xdr:rowOff>
    </xdr:from>
    <xdr:to>
      <xdr:col>9</xdr:col>
      <xdr:colOff>581025</xdr:colOff>
      <xdr:row>36</xdr:row>
      <xdr:rowOff>146050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E31FA8-1656-FDC2-29DA-7FC8E5CB2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676275</xdr:colOff>
      <xdr:row>5</xdr:row>
      <xdr:rowOff>139700</xdr:rowOff>
    </xdr:from>
    <xdr:to>
      <xdr:col>10</xdr:col>
      <xdr:colOff>155575</xdr:colOff>
      <xdr:row>23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37BC0C6-C956-33F4-D878-1B3F52A38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714375</xdr:colOff>
      <xdr:row>23</xdr:row>
      <xdr:rowOff>31750</xdr:rowOff>
    </xdr:from>
    <xdr:to>
      <xdr:col>10</xdr:col>
      <xdr:colOff>193675</xdr:colOff>
      <xdr:row>40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C8A6829-7738-9E05-7042-A954366C9B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174625</xdr:colOff>
      <xdr:row>8</xdr:row>
      <xdr:rowOff>69850</xdr:rowOff>
    </xdr:from>
    <xdr:to>
      <xdr:col>5</xdr:col>
      <xdr:colOff>549275</xdr:colOff>
      <xdr:row>25</xdr:row>
      <xdr:rowOff>101600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A8296B8-6849-ACF1-4EA0-C7BCE37B2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98425</xdr:colOff>
      <xdr:row>26</xdr:row>
      <xdr:rowOff>82550</xdr:rowOff>
    </xdr:from>
    <xdr:to>
      <xdr:col>5</xdr:col>
      <xdr:colOff>473075</xdr:colOff>
      <xdr:row>43</xdr:row>
      <xdr:rowOff>127000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586E58-33FD-C17E-BA72-B2782D57B4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403225</xdr:colOff>
      <xdr:row>9</xdr:row>
      <xdr:rowOff>44450</xdr:rowOff>
    </xdr:from>
    <xdr:to>
      <xdr:col>6</xdr:col>
      <xdr:colOff>549275</xdr:colOff>
      <xdr:row>26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8C8F9F8-B334-3745-D79A-087EDEA88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371475</xdr:colOff>
      <xdr:row>26</xdr:row>
      <xdr:rowOff>95250</xdr:rowOff>
    </xdr:from>
    <xdr:to>
      <xdr:col>6</xdr:col>
      <xdr:colOff>517525</xdr:colOff>
      <xdr:row>43</xdr:row>
      <xdr:rowOff>139700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FAD6EE-9DE7-1CBF-F06F-F8B93A2D45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111125</xdr:colOff>
      <xdr:row>1</xdr:row>
      <xdr:rowOff>57150</xdr:rowOff>
    </xdr:from>
    <xdr:to>
      <xdr:col>11</xdr:col>
      <xdr:colOff>415925</xdr:colOff>
      <xdr:row>18</xdr:row>
      <xdr:rowOff>88900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6C2A0047-D384-95E2-2731-94CE298BD8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9975" y="2159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757512</xdr:colOff>
      <xdr:row>34</xdr:row>
      <xdr:rowOff>65167</xdr:rowOff>
    </xdr:from>
    <xdr:to>
      <xdr:col>6</xdr:col>
      <xdr:colOff>627946</xdr:colOff>
      <xdr:row>51</xdr:row>
      <xdr:rowOff>82357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C1BBA724-D8D5-5E3E-03B7-BF528A9514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7512" y="5998248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0</xdr:col>
      <xdr:colOff>616399</xdr:colOff>
      <xdr:row>53</xdr:row>
      <xdr:rowOff>33098</xdr:rowOff>
    </xdr:from>
    <xdr:to>
      <xdr:col>6</xdr:col>
      <xdr:colOff>486833</xdr:colOff>
      <xdr:row>70</xdr:row>
      <xdr:rowOff>50288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1379AF96-C3E2-A424-C3C8-DA2574F7DC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6399" y="9012896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0</xdr:col>
      <xdr:colOff>635641</xdr:colOff>
      <xdr:row>71</xdr:row>
      <xdr:rowOff>77994</xdr:rowOff>
    </xdr:from>
    <xdr:to>
      <xdr:col>6</xdr:col>
      <xdr:colOff>506075</xdr:colOff>
      <xdr:row>88</xdr:row>
      <xdr:rowOff>95184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034397C-C6F9-3CF1-44E7-22691EC76B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641" y="11944156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0</xdr:col>
      <xdr:colOff>347004</xdr:colOff>
      <xdr:row>90</xdr:row>
      <xdr:rowOff>90823</xdr:rowOff>
    </xdr:from>
    <xdr:to>
      <xdr:col>6</xdr:col>
      <xdr:colOff>217438</xdr:colOff>
      <xdr:row>107</xdr:row>
      <xdr:rowOff>108013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729200DE-DC1C-AF09-18D5-1679BFD3FF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04" y="1500370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085.427502199076" createdVersion="8" refreshedVersion="8" minRefreshableVersion="3" recordCount="31" xr:uid="{A2B73140-8161-47D7-9788-5935AD568286}">
  <cacheSource type="worksheet">
    <worksheetSource ref="B2:G33" sheet="Amostra"/>
  </cacheSource>
  <cacheFields count="6">
    <cacheField name="Idade" numFmtId="0">
      <sharedItems containsSemiMixedTypes="0" containsString="0" containsNumber="1" containsInteger="1" minValue="18" maxValue="55"/>
    </cacheField>
    <cacheField name="Tempo de Serviço (anos)" numFmtId="0">
      <sharedItems containsSemiMixedTypes="0" containsString="0" containsNumber="1" containsInteger="1" minValue="1" maxValue="4"/>
    </cacheField>
    <cacheField name="Escolaridade" numFmtId="0">
      <sharedItems count="3">
        <s v="Médio"/>
        <s v="Superior"/>
        <s v="Fundamental"/>
      </sharedItems>
    </cacheField>
    <cacheField name="Salário R$" numFmtId="2">
      <sharedItems containsSemiMixedTypes="0" containsString="0" containsNumber="1" containsInteger="1" minValue="1621" maxValue="7250"/>
    </cacheField>
    <cacheField name="no. de dependentes" numFmtId="0">
      <sharedItems containsSemiMixedTypes="0" containsString="0" containsNumber="1" containsInteger="1" minValue="0" maxValue="4"/>
    </cacheField>
    <cacheField name="Possui automóvel própri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085.436807060185" createdVersion="8" refreshedVersion="8" minRefreshableVersion="3" recordCount="31" xr:uid="{D3552807-81A9-4B1B-8E23-4939AD36EEF5}">
  <cacheSource type="worksheet">
    <worksheetSource ref="C3:H34" sheet="Automóvel"/>
  </cacheSource>
  <cacheFields count="6">
    <cacheField name="Idade" numFmtId="0">
      <sharedItems containsSemiMixedTypes="0" containsString="0" containsNumber="1" containsInteger="1" minValue="18" maxValue="55"/>
    </cacheField>
    <cacheField name="Tempo de Serviço (anos)" numFmtId="0">
      <sharedItems containsSemiMixedTypes="0" containsString="0" containsNumber="1" containsInteger="1" minValue="1" maxValue="4"/>
    </cacheField>
    <cacheField name="Escolaridade" numFmtId="0">
      <sharedItems count="3">
        <s v="Médio"/>
        <s v="Superior"/>
        <s v="Fundamental"/>
      </sharedItems>
    </cacheField>
    <cacheField name="Salário R$" numFmtId="2">
      <sharedItems containsSemiMixedTypes="0" containsString="0" containsNumber="1" containsInteger="1" minValue="1621" maxValue="7250"/>
    </cacheField>
    <cacheField name="no. de dependentes" numFmtId="0">
      <sharedItems containsSemiMixedTypes="0" containsString="0" containsNumber="1" containsInteger="1" minValue="0" maxValue="4"/>
    </cacheField>
    <cacheField name="Possui automóvel próprio" numFmtId="0">
      <sharedItems count="2">
        <s v="Sim"/>
        <s v="N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085.446529513887" createdVersion="8" refreshedVersion="8" minRefreshableVersion="3" recordCount="31" xr:uid="{54A20130-BC84-471C-A278-D4FE60F56E1C}">
  <cacheSource type="worksheet">
    <worksheetSource ref="B2:G33" sheet="Amostra"/>
  </cacheSource>
  <cacheFields count="6">
    <cacheField name="Idade" numFmtId="0">
      <sharedItems containsSemiMixedTypes="0" containsString="0" containsNumber="1" containsInteger="1" minValue="18" maxValue="55"/>
    </cacheField>
    <cacheField name="Tempo de Serviço (anos)" numFmtId="0">
      <sharedItems containsSemiMixedTypes="0" containsString="0" containsNumber="1" containsInteger="1" minValue="1" maxValue="4" count="4">
        <n v="3"/>
        <n v="2"/>
        <n v="1"/>
        <n v="4"/>
      </sharedItems>
    </cacheField>
    <cacheField name="Escolaridade" numFmtId="0">
      <sharedItems count="3">
        <s v="Médio"/>
        <s v="Superior"/>
        <s v="Fundamental"/>
      </sharedItems>
    </cacheField>
    <cacheField name="Salário R$" numFmtId="2">
      <sharedItems containsSemiMixedTypes="0" containsString="0" containsNumber="1" containsInteger="1" minValue="1621" maxValue="7250"/>
    </cacheField>
    <cacheField name="no. de dependentes" numFmtId="0">
      <sharedItems containsSemiMixedTypes="0" containsString="0" containsNumber="1" containsInteger="1" minValue="0" maxValue="4"/>
    </cacheField>
    <cacheField name="Possui automóvel própri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085.44952800926" createdVersion="8" refreshedVersion="8" minRefreshableVersion="3" recordCount="31" xr:uid="{0704311C-6C1B-4A58-9949-28FF83E2C265}">
  <cacheSource type="worksheet">
    <worksheetSource ref="B2:G33" sheet="Amostra"/>
  </cacheSource>
  <cacheFields count="6">
    <cacheField name="Idade" numFmtId="0">
      <sharedItems containsSemiMixedTypes="0" containsString="0" containsNumber="1" containsInteger="1" minValue="18" maxValue="55"/>
    </cacheField>
    <cacheField name="Tempo de Serviço (anos)" numFmtId="0">
      <sharedItems containsSemiMixedTypes="0" containsString="0" containsNumber="1" containsInteger="1" minValue="1" maxValue="4"/>
    </cacheField>
    <cacheField name="Escolaridade" numFmtId="0">
      <sharedItems count="3">
        <s v="Médio"/>
        <s v="Superior"/>
        <s v="Fundamental"/>
      </sharedItems>
    </cacheField>
    <cacheField name="Salário R$" numFmtId="2">
      <sharedItems containsSemiMixedTypes="0" containsString="0" containsNumber="1" containsInteger="1" minValue="1621" maxValue="7250"/>
    </cacheField>
    <cacheField name="no. de dependentes" numFmtId="0">
      <sharedItems containsSemiMixedTypes="0" containsString="0" containsNumber="1" containsInteger="1" minValue="0" maxValue="4" count="5">
        <n v="3"/>
        <n v="1"/>
        <n v="0"/>
        <n v="2"/>
        <n v="4"/>
      </sharedItems>
    </cacheField>
    <cacheField name="Possui automóvel própri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085.44997962963" createdVersion="8" refreshedVersion="8" minRefreshableVersion="3" recordCount="31" xr:uid="{159EFA15-C53B-45D1-AD44-13ABA8984C2E}">
  <cacheSource type="worksheet">
    <worksheetSource ref="B2:G33" sheet="Amostra"/>
  </cacheSource>
  <cacheFields count="6">
    <cacheField name="Idade" numFmtId="0">
      <sharedItems containsSemiMixedTypes="0" containsString="0" containsNumber="1" containsInteger="1" minValue="18" maxValue="55" count="22">
        <n v="40"/>
        <n v="25"/>
        <n v="32"/>
        <n v="30"/>
        <n v="34"/>
        <n v="20"/>
        <n v="22"/>
        <n v="21"/>
        <n v="31"/>
        <n v="18"/>
        <n v="41"/>
        <n v="36"/>
        <n v="27"/>
        <n v="43"/>
        <n v="37"/>
        <n v="50"/>
        <n v="24"/>
        <n v="33"/>
        <n v="45"/>
        <n v="23"/>
        <n v="35"/>
        <n v="55"/>
      </sharedItems>
      <fieldGroup base="0">
        <rangePr startNum="18" endNum="55" groupInterval="10"/>
        <groupItems count="6">
          <s v="&lt;18"/>
          <s v="18-27"/>
          <s v="28-37"/>
          <s v="38-47"/>
          <s v="48-57"/>
          <s v="&gt;58"/>
        </groupItems>
      </fieldGroup>
    </cacheField>
    <cacheField name="Tempo de Serviço (anos)" numFmtId="0">
      <sharedItems containsSemiMixedTypes="0" containsString="0" containsNumber="1" containsInteger="1" minValue="1" maxValue="4"/>
    </cacheField>
    <cacheField name="Escolaridade" numFmtId="0">
      <sharedItems count="3">
        <s v="Médio"/>
        <s v="Superior"/>
        <s v="Fundamental"/>
      </sharedItems>
    </cacheField>
    <cacheField name="Salário R$" numFmtId="2">
      <sharedItems containsSemiMixedTypes="0" containsString="0" containsNumber="1" containsInteger="1" minValue="1621" maxValue="7250"/>
    </cacheField>
    <cacheField name="no. de dependentes" numFmtId="0">
      <sharedItems containsSemiMixedTypes="0" containsString="0" containsNumber="1" containsInteger="1" minValue="0" maxValue="4"/>
    </cacheField>
    <cacheField name="Possui automóvel própri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085.457964004629" createdVersion="8" refreshedVersion="8" minRefreshableVersion="3" recordCount="31" xr:uid="{FD4419D2-033A-4011-9F80-A9410BD74224}">
  <cacheSource type="worksheet">
    <worksheetSource ref="B2:G33" sheet="Amostra"/>
  </cacheSource>
  <cacheFields count="6">
    <cacheField name="Idade" numFmtId="0">
      <sharedItems containsSemiMixedTypes="0" containsString="0" containsNumber="1" containsInteger="1" minValue="18" maxValue="55"/>
    </cacheField>
    <cacheField name="Tempo de Serviço (anos)" numFmtId="0">
      <sharedItems containsSemiMixedTypes="0" containsString="0" containsNumber="1" containsInteger="1" minValue="1" maxValue="4"/>
    </cacheField>
    <cacheField name="Escolaridade" numFmtId="0">
      <sharedItems count="3">
        <s v="Médio"/>
        <s v="Superior"/>
        <s v="Fundamental"/>
      </sharedItems>
    </cacheField>
    <cacheField name="Salário R$" numFmtId="2">
      <sharedItems containsSemiMixedTypes="0" containsString="0" containsNumber="1" containsInteger="1" minValue="1621" maxValue="7250" count="21">
        <n v="3400"/>
        <n v="4300"/>
        <n v="3500"/>
        <n v="5000"/>
        <n v="1621"/>
        <n v="3578"/>
        <n v="4705"/>
        <n v="3450"/>
        <n v="3350"/>
        <n v="2500"/>
        <n v="6000"/>
        <n v="2800"/>
        <n v="2900"/>
        <n v="2300"/>
        <n v="4500"/>
        <n v="2570"/>
        <n v="2350"/>
        <n v="6300"/>
        <n v="2450"/>
        <n v="7250"/>
        <n v="3100"/>
      </sharedItems>
      <fieldGroup base="3">
        <rangePr startNum="1621" endNum="7250" groupInterval="1000"/>
        <groupItems count="8">
          <s v="&lt;1621"/>
          <s v="1621-2620"/>
          <s v="2621-3620"/>
          <s v="3621-4620"/>
          <s v="4621-5620"/>
          <s v="5621-6620"/>
          <s v="6621-7620"/>
          <s v="&gt;7621"/>
        </groupItems>
      </fieldGroup>
    </cacheField>
    <cacheField name="no. de dependentes" numFmtId="0">
      <sharedItems containsSemiMixedTypes="0" containsString="0" containsNumber="1" containsInteger="1" minValue="0" maxValue="4"/>
    </cacheField>
    <cacheField name="Possui automóvel própri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n v="40"/>
    <n v="3"/>
    <x v="0"/>
    <n v="3400"/>
    <n v="3"/>
    <s v="Sim"/>
  </r>
  <r>
    <n v="25"/>
    <n v="2"/>
    <x v="1"/>
    <n v="4300"/>
    <n v="1"/>
    <s v="Sim"/>
  </r>
  <r>
    <n v="32"/>
    <n v="2"/>
    <x v="0"/>
    <n v="3500"/>
    <n v="0"/>
    <s v="Sim"/>
  </r>
  <r>
    <n v="30"/>
    <n v="1"/>
    <x v="1"/>
    <n v="5000"/>
    <n v="0"/>
    <s v="Sim"/>
  </r>
  <r>
    <n v="34"/>
    <n v="2"/>
    <x v="2"/>
    <n v="1621"/>
    <n v="1"/>
    <s v="Sim"/>
  </r>
  <r>
    <n v="20"/>
    <n v="1"/>
    <x v="2"/>
    <n v="1621"/>
    <n v="0"/>
    <s v="Não"/>
  </r>
  <r>
    <n v="22"/>
    <n v="3"/>
    <x v="0"/>
    <n v="3578"/>
    <n v="0"/>
    <s v="Não"/>
  </r>
  <r>
    <n v="21"/>
    <n v="3"/>
    <x v="2"/>
    <n v="1621"/>
    <n v="0"/>
    <s v="Não"/>
  </r>
  <r>
    <n v="31"/>
    <n v="3"/>
    <x v="1"/>
    <n v="4705"/>
    <n v="1"/>
    <s v="Sim"/>
  </r>
  <r>
    <n v="18"/>
    <n v="1"/>
    <x v="2"/>
    <n v="1621"/>
    <n v="0"/>
    <s v="Não"/>
  </r>
  <r>
    <n v="30"/>
    <n v="2"/>
    <x v="0"/>
    <n v="3450"/>
    <n v="1"/>
    <s v="Sim"/>
  </r>
  <r>
    <n v="41"/>
    <n v="2"/>
    <x v="0"/>
    <n v="3350"/>
    <n v="1"/>
    <s v="Sim"/>
  </r>
  <r>
    <n v="36"/>
    <n v="3"/>
    <x v="0"/>
    <n v="2500"/>
    <n v="2"/>
    <s v="Sim"/>
  </r>
  <r>
    <n v="27"/>
    <n v="2"/>
    <x v="2"/>
    <n v="1621"/>
    <n v="1"/>
    <s v="Sim"/>
  </r>
  <r>
    <n v="43"/>
    <n v="3"/>
    <x v="1"/>
    <n v="6000"/>
    <n v="3"/>
    <s v="Sim"/>
  </r>
  <r>
    <n v="37"/>
    <n v="2"/>
    <x v="0"/>
    <n v="2800"/>
    <n v="2"/>
    <s v="Sim"/>
  </r>
  <r>
    <n v="50"/>
    <n v="2"/>
    <x v="0"/>
    <n v="2900"/>
    <n v="3"/>
    <s v="Sim"/>
  </r>
  <r>
    <n v="27"/>
    <n v="3"/>
    <x v="2"/>
    <n v="1621"/>
    <n v="1"/>
    <s v="Não"/>
  </r>
  <r>
    <n v="25"/>
    <n v="2"/>
    <x v="2"/>
    <n v="1621"/>
    <n v="2"/>
    <s v="Não"/>
  </r>
  <r>
    <n v="24"/>
    <n v="1"/>
    <x v="0"/>
    <n v="2300"/>
    <n v="1"/>
    <s v="Sim"/>
  </r>
  <r>
    <n v="25"/>
    <n v="1"/>
    <x v="1"/>
    <n v="4500"/>
    <n v="1"/>
    <s v="Sim"/>
  </r>
  <r>
    <n v="41"/>
    <n v="1"/>
    <x v="0"/>
    <n v="2570"/>
    <n v="1"/>
    <s v="Sim"/>
  </r>
  <r>
    <n v="20"/>
    <n v="2"/>
    <x v="2"/>
    <n v="1621"/>
    <n v="0"/>
    <s v="Não"/>
  </r>
  <r>
    <n v="33"/>
    <n v="1"/>
    <x v="0"/>
    <n v="2350"/>
    <n v="2"/>
    <s v="Sim"/>
  </r>
  <r>
    <n v="45"/>
    <n v="4"/>
    <x v="1"/>
    <n v="6300"/>
    <n v="3"/>
    <s v="Sim"/>
  </r>
  <r>
    <n v="23"/>
    <n v="1"/>
    <x v="2"/>
    <n v="1621"/>
    <n v="2"/>
    <s v="Não"/>
  </r>
  <r>
    <n v="35"/>
    <n v="2"/>
    <x v="0"/>
    <n v="2450"/>
    <n v="1"/>
    <s v="Sim"/>
  </r>
  <r>
    <n v="55"/>
    <n v="4"/>
    <x v="1"/>
    <n v="7250"/>
    <n v="4"/>
    <s v="Sim"/>
  </r>
  <r>
    <n v="23"/>
    <n v="1"/>
    <x v="0"/>
    <n v="2800"/>
    <n v="0"/>
    <s v="Sim"/>
  </r>
  <r>
    <n v="27"/>
    <n v="1"/>
    <x v="0"/>
    <n v="2900"/>
    <n v="2"/>
    <s v="Não"/>
  </r>
  <r>
    <n v="30"/>
    <n v="3"/>
    <x v="0"/>
    <n v="3100"/>
    <n v="1"/>
    <s v="Sim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n v="40"/>
    <n v="3"/>
    <x v="0"/>
    <n v="3400"/>
    <n v="3"/>
    <x v="0"/>
  </r>
  <r>
    <n v="25"/>
    <n v="2"/>
    <x v="1"/>
    <n v="4300"/>
    <n v="1"/>
    <x v="0"/>
  </r>
  <r>
    <n v="32"/>
    <n v="2"/>
    <x v="0"/>
    <n v="3500"/>
    <n v="0"/>
    <x v="0"/>
  </r>
  <r>
    <n v="30"/>
    <n v="1"/>
    <x v="1"/>
    <n v="5000"/>
    <n v="0"/>
    <x v="0"/>
  </r>
  <r>
    <n v="34"/>
    <n v="2"/>
    <x v="2"/>
    <n v="1621"/>
    <n v="1"/>
    <x v="0"/>
  </r>
  <r>
    <n v="20"/>
    <n v="1"/>
    <x v="2"/>
    <n v="1621"/>
    <n v="0"/>
    <x v="1"/>
  </r>
  <r>
    <n v="22"/>
    <n v="3"/>
    <x v="0"/>
    <n v="3578"/>
    <n v="0"/>
    <x v="1"/>
  </r>
  <r>
    <n v="21"/>
    <n v="3"/>
    <x v="2"/>
    <n v="1621"/>
    <n v="0"/>
    <x v="1"/>
  </r>
  <r>
    <n v="31"/>
    <n v="3"/>
    <x v="1"/>
    <n v="4705"/>
    <n v="1"/>
    <x v="0"/>
  </r>
  <r>
    <n v="18"/>
    <n v="1"/>
    <x v="2"/>
    <n v="1621"/>
    <n v="0"/>
    <x v="1"/>
  </r>
  <r>
    <n v="30"/>
    <n v="2"/>
    <x v="0"/>
    <n v="3450"/>
    <n v="1"/>
    <x v="0"/>
  </r>
  <r>
    <n v="41"/>
    <n v="2"/>
    <x v="0"/>
    <n v="3350"/>
    <n v="1"/>
    <x v="0"/>
  </r>
  <r>
    <n v="36"/>
    <n v="3"/>
    <x v="0"/>
    <n v="2500"/>
    <n v="2"/>
    <x v="0"/>
  </r>
  <r>
    <n v="27"/>
    <n v="2"/>
    <x v="2"/>
    <n v="1621"/>
    <n v="1"/>
    <x v="0"/>
  </r>
  <r>
    <n v="43"/>
    <n v="3"/>
    <x v="1"/>
    <n v="6000"/>
    <n v="3"/>
    <x v="0"/>
  </r>
  <r>
    <n v="37"/>
    <n v="2"/>
    <x v="0"/>
    <n v="2800"/>
    <n v="2"/>
    <x v="0"/>
  </r>
  <r>
    <n v="50"/>
    <n v="2"/>
    <x v="0"/>
    <n v="2900"/>
    <n v="3"/>
    <x v="0"/>
  </r>
  <r>
    <n v="27"/>
    <n v="3"/>
    <x v="2"/>
    <n v="1621"/>
    <n v="1"/>
    <x v="1"/>
  </r>
  <r>
    <n v="25"/>
    <n v="2"/>
    <x v="2"/>
    <n v="1621"/>
    <n v="2"/>
    <x v="1"/>
  </r>
  <r>
    <n v="24"/>
    <n v="1"/>
    <x v="0"/>
    <n v="2300"/>
    <n v="1"/>
    <x v="0"/>
  </r>
  <r>
    <n v="25"/>
    <n v="1"/>
    <x v="1"/>
    <n v="4500"/>
    <n v="1"/>
    <x v="0"/>
  </r>
  <r>
    <n v="41"/>
    <n v="1"/>
    <x v="0"/>
    <n v="2570"/>
    <n v="1"/>
    <x v="0"/>
  </r>
  <r>
    <n v="20"/>
    <n v="2"/>
    <x v="2"/>
    <n v="1621"/>
    <n v="0"/>
    <x v="1"/>
  </r>
  <r>
    <n v="33"/>
    <n v="1"/>
    <x v="0"/>
    <n v="2350"/>
    <n v="2"/>
    <x v="0"/>
  </r>
  <r>
    <n v="45"/>
    <n v="4"/>
    <x v="1"/>
    <n v="6300"/>
    <n v="3"/>
    <x v="0"/>
  </r>
  <r>
    <n v="23"/>
    <n v="1"/>
    <x v="2"/>
    <n v="1621"/>
    <n v="2"/>
    <x v="1"/>
  </r>
  <r>
    <n v="35"/>
    <n v="2"/>
    <x v="0"/>
    <n v="2450"/>
    <n v="1"/>
    <x v="0"/>
  </r>
  <r>
    <n v="55"/>
    <n v="4"/>
    <x v="1"/>
    <n v="7250"/>
    <n v="4"/>
    <x v="0"/>
  </r>
  <r>
    <n v="23"/>
    <n v="1"/>
    <x v="0"/>
    <n v="2800"/>
    <n v="0"/>
    <x v="0"/>
  </r>
  <r>
    <n v="27"/>
    <n v="1"/>
    <x v="0"/>
    <n v="2900"/>
    <n v="2"/>
    <x v="1"/>
  </r>
  <r>
    <n v="30"/>
    <n v="3"/>
    <x v="0"/>
    <n v="3100"/>
    <n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n v="40"/>
    <x v="0"/>
    <x v="0"/>
    <n v="3400"/>
    <n v="3"/>
    <s v="Sim"/>
  </r>
  <r>
    <n v="25"/>
    <x v="1"/>
    <x v="1"/>
    <n v="4300"/>
    <n v="1"/>
    <s v="Sim"/>
  </r>
  <r>
    <n v="32"/>
    <x v="1"/>
    <x v="0"/>
    <n v="3500"/>
    <n v="0"/>
    <s v="Sim"/>
  </r>
  <r>
    <n v="30"/>
    <x v="2"/>
    <x v="1"/>
    <n v="5000"/>
    <n v="0"/>
    <s v="Sim"/>
  </r>
  <r>
    <n v="34"/>
    <x v="1"/>
    <x v="2"/>
    <n v="1621"/>
    <n v="1"/>
    <s v="Sim"/>
  </r>
  <r>
    <n v="20"/>
    <x v="2"/>
    <x v="2"/>
    <n v="1621"/>
    <n v="0"/>
    <s v="Não"/>
  </r>
  <r>
    <n v="22"/>
    <x v="0"/>
    <x v="0"/>
    <n v="3578"/>
    <n v="0"/>
    <s v="Não"/>
  </r>
  <r>
    <n v="21"/>
    <x v="0"/>
    <x v="2"/>
    <n v="1621"/>
    <n v="0"/>
    <s v="Não"/>
  </r>
  <r>
    <n v="31"/>
    <x v="0"/>
    <x v="1"/>
    <n v="4705"/>
    <n v="1"/>
    <s v="Sim"/>
  </r>
  <r>
    <n v="18"/>
    <x v="2"/>
    <x v="2"/>
    <n v="1621"/>
    <n v="0"/>
    <s v="Não"/>
  </r>
  <r>
    <n v="30"/>
    <x v="1"/>
    <x v="0"/>
    <n v="3450"/>
    <n v="1"/>
    <s v="Sim"/>
  </r>
  <r>
    <n v="41"/>
    <x v="1"/>
    <x v="0"/>
    <n v="3350"/>
    <n v="1"/>
    <s v="Sim"/>
  </r>
  <r>
    <n v="36"/>
    <x v="0"/>
    <x v="0"/>
    <n v="2500"/>
    <n v="2"/>
    <s v="Sim"/>
  </r>
  <r>
    <n v="27"/>
    <x v="1"/>
    <x v="2"/>
    <n v="1621"/>
    <n v="1"/>
    <s v="Sim"/>
  </r>
  <r>
    <n v="43"/>
    <x v="0"/>
    <x v="1"/>
    <n v="6000"/>
    <n v="3"/>
    <s v="Sim"/>
  </r>
  <r>
    <n v="37"/>
    <x v="1"/>
    <x v="0"/>
    <n v="2800"/>
    <n v="2"/>
    <s v="Sim"/>
  </r>
  <r>
    <n v="50"/>
    <x v="1"/>
    <x v="0"/>
    <n v="2900"/>
    <n v="3"/>
    <s v="Sim"/>
  </r>
  <r>
    <n v="27"/>
    <x v="0"/>
    <x v="2"/>
    <n v="1621"/>
    <n v="1"/>
    <s v="Não"/>
  </r>
  <r>
    <n v="25"/>
    <x v="1"/>
    <x v="2"/>
    <n v="1621"/>
    <n v="2"/>
    <s v="Não"/>
  </r>
  <r>
    <n v="24"/>
    <x v="2"/>
    <x v="0"/>
    <n v="2300"/>
    <n v="1"/>
    <s v="Sim"/>
  </r>
  <r>
    <n v="25"/>
    <x v="2"/>
    <x v="1"/>
    <n v="4500"/>
    <n v="1"/>
    <s v="Sim"/>
  </r>
  <r>
    <n v="41"/>
    <x v="2"/>
    <x v="0"/>
    <n v="2570"/>
    <n v="1"/>
    <s v="Sim"/>
  </r>
  <r>
    <n v="20"/>
    <x v="1"/>
    <x v="2"/>
    <n v="1621"/>
    <n v="0"/>
    <s v="Não"/>
  </r>
  <r>
    <n v="33"/>
    <x v="2"/>
    <x v="0"/>
    <n v="2350"/>
    <n v="2"/>
    <s v="Sim"/>
  </r>
  <r>
    <n v="45"/>
    <x v="3"/>
    <x v="1"/>
    <n v="6300"/>
    <n v="3"/>
    <s v="Sim"/>
  </r>
  <r>
    <n v="23"/>
    <x v="2"/>
    <x v="2"/>
    <n v="1621"/>
    <n v="2"/>
    <s v="Não"/>
  </r>
  <r>
    <n v="35"/>
    <x v="1"/>
    <x v="0"/>
    <n v="2450"/>
    <n v="1"/>
    <s v="Sim"/>
  </r>
  <r>
    <n v="55"/>
    <x v="3"/>
    <x v="1"/>
    <n v="7250"/>
    <n v="4"/>
    <s v="Sim"/>
  </r>
  <r>
    <n v="23"/>
    <x v="2"/>
    <x v="0"/>
    <n v="2800"/>
    <n v="0"/>
    <s v="Sim"/>
  </r>
  <r>
    <n v="27"/>
    <x v="2"/>
    <x v="0"/>
    <n v="2900"/>
    <n v="2"/>
    <s v="Não"/>
  </r>
  <r>
    <n v="30"/>
    <x v="0"/>
    <x v="0"/>
    <n v="3100"/>
    <n v="1"/>
    <s v="Sim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n v="40"/>
    <n v="3"/>
    <x v="0"/>
    <n v="3400"/>
    <x v="0"/>
    <s v="Sim"/>
  </r>
  <r>
    <n v="25"/>
    <n v="2"/>
    <x v="1"/>
    <n v="4300"/>
    <x v="1"/>
    <s v="Sim"/>
  </r>
  <r>
    <n v="32"/>
    <n v="2"/>
    <x v="0"/>
    <n v="3500"/>
    <x v="2"/>
    <s v="Sim"/>
  </r>
  <r>
    <n v="30"/>
    <n v="1"/>
    <x v="1"/>
    <n v="5000"/>
    <x v="2"/>
    <s v="Sim"/>
  </r>
  <r>
    <n v="34"/>
    <n v="2"/>
    <x v="2"/>
    <n v="1621"/>
    <x v="1"/>
    <s v="Sim"/>
  </r>
  <r>
    <n v="20"/>
    <n v="1"/>
    <x v="2"/>
    <n v="1621"/>
    <x v="2"/>
    <s v="Não"/>
  </r>
  <r>
    <n v="22"/>
    <n v="3"/>
    <x v="0"/>
    <n v="3578"/>
    <x v="2"/>
    <s v="Não"/>
  </r>
  <r>
    <n v="21"/>
    <n v="3"/>
    <x v="2"/>
    <n v="1621"/>
    <x v="2"/>
    <s v="Não"/>
  </r>
  <r>
    <n v="31"/>
    <n v="3"/>
    <x v="1"/>
    <n v="4705"/>
    <x v="1"/>
    <s v="Sim"/>
  </r>
  <r>
    <n v="18"/>
    <n v="1"/>
    <x v="2"/>
    <n v="1621"/>
    <x v="2"/>
    <s v="Não"/>
  </r>
  <r>
    <n v="30"/>
    <n v="2"/>
    <x v="0"/>
    <n v="3450"/>
    <x v="1"/>
    <s v="Sim"/>
  </r>
  <r>
    <n v="41"/>
    <n v="2"/>
    <x v="0"/>
    <n v="3350"/>
    <x v="1"/>
    <s v="Sim"/>
  </r>
  <r>
    <n v="36"/>
    <n v="3"/>
    <x v="0"/>
    <n v="2500"/>
    <x v="3"/>
    <s v="Sim"/>
  </r>
  <r>
    <n v="27"/>
    <n v="2"/>
    <x v="2"/>
    <n v="1621"/>
    <x v="1"/>
    <s v="Sim"/>
  </r>
  <r>
    <n v="43"/>
    <n v="3"/>
    <x v="1"/>
    <n v="6000"/>
    <x v="0"/>
    <s v="Sim"/>
  </r>
  <r>
    <n v="37"/>
    <n v="2"/>
    <x v="0"/>
    <n v="2800"/>
    <x v="3"/>
    <s v="Sim"/>
  </r>
  <r>
    <n v="50"/>
    <n v="2"/>
    <x v="0"/>
    <n v="2900"/>
    <x v="0"/>
    <s v="Sim"/>
  </r>
  <r>
    <n v="27"/>
    <n v="3"/>
    <x v="2"/>
    <n v="1621"/>
    <x v="1"/>
    <s v="Não"/>
  </r>
  <r>
    <n v="25"/>
    <n v="2"/>
    <x v="2"/>
    <n v="1621"/>
    <x v="3"/>
    <s v="Não"/>
  </r>
  <r>
    <n v="24"/>
    <n v="1"/>
    <x v="0"/>
    <n v="2300"/>
    <x v="1"/>
    <s v="Sim"/>
  </r>
  <r>
    <n v="25"/>
    <n v="1"/>
    <x v="1"/>
    <n v="4500"/>
    <x v="1"/>
    <s v="Sim"/>
  </r>
  <r>
    <n v="41"/>
    <n v="1"/>
    <x v="0"/>
    <n v="2570"/>
    <x v="1"/>
    <s v="Sim"/>
  </r>
  <r>
    <n v="20"/>
    <n v="2"/>
    <x v="2"/>
    <n v="1621"/>
    <x v="2"/>
    <s v="Não"/>
  </r>
  <r>
    <n v="33"/>
    <n v="1"/>
    <x v="0"/>
    <n v="2350"/>
    <x v="3"/>
    <s v="Sim"/>
  </r>
  <r>
    <n v="45"/>
    <n v="4"/>
    <x v="1"/>
    <n v="6300"/>
    <x v="0"/>
    <s v="Sim"/>
  </r>
  <r>
    <n v="23"/>
    <n v="1"/>
    <x v="2"/>
    <n v="1621"/>
    <x v="3"/>
    <s v="Não"/>
  </r>
  <r>
    <n v="35"/>
    <n v="2"/>
    <x v="0"/>
    <n v="2450"/>
    <x v="1"/>
    <s v="Sim"/>
  </r>
  <r>
    <n v="55"/>
    <n v="4"/>
    <x v="1"/>
    <n v="7250"/>
    <x v="4"/>
    <s v="Sim"/>
  </r>
  <r>
    <n v="23"/>
    <n v="1"/>
    <x v="0"/>
    <n v="2800"/>
    <x v="2"/>
    <s v="Sim"/>
  </r>
  <r>
    <n v="27"/>
    <n v="1"/>
    <x v="0"/>
    <n v="2900"/>
    <x v="3"/>
    <s v="Não"/>
  </r>
  <r>
    <n v="30"/>
    <n v="3"/>
    <x v="0"/>
    <n v="3100"/>
    <x v="1"/>
    <s v="Sim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n v="3"/>
    <x v="0"/>
    <n v="3400"/>
    <n v="3"/>
    <s v="Sim"/>
  </r>
  <r>
    <x v="1"/>
    <n v="2"/>
    <x v="1"/>
    <n v="4300"/>
    <n v="1"/>
    <s v="Sim"/>
  </r>
  <r>
    <x v="2"/>
    <n v="2"/>
    <x v="0"/>
    <n v="3500"/>
    <n v="0"/>
    <s v="Sim"/>
  </r>
  <r>
    <x v="3"/>
    <n v="1"/>
    <x v="1"/>
    <n v="5000"/>
    <n v="0"/>
    <s v="Sim"/>
  </r>
  <r>
    <x v="4"/>
    <n v="2"/>
    <x v="2"/>
    <n v="1621"/>
    <n v="1"/>
    <s v="Sim"/>
  </r>
  <r>
    <x v="5"/>
    <n v="1"/>
    <x v="2"/>
    <n v="1621"/>
    <n v="0"/>
    <s v="Não"/>
  </r>
  <r>
    <x v="6"/>
    <n v="3"/>
    <x v="0"/>
    <n v="3578"/>
    <n v="0"/>
    <s v="Não"/>
  </r>
  <r>
    <x v="7"/>
    <n v="3"/>
    <x v="2"/>
    <n v="1621"/>
    <n v="0"/>
    <s v="Não"/>
  </r>
  <r>
    <x v="8"/>
    <n v="3"/>
    <x v="1"/>
    <n v="4705"/>
    <n v="1"/>
    <s v="Sim"/>
  </r>
  <r>
    <x v="9"/>
    <n v="1"/>
    <x v="2"/>
    <n v="1621"/>
    <n v="0"/>
    <s v="Não"/>
  </r>
  <r>
    <x v="3"/>
    <n v="2"/>
    <x v="0"/>
    <n v="3450"/>
    <n v="1"/>
    <s v="Sim"/>
  </r>
  <r>
    <x v="10"/>
    <n v="2"/>
    <x v="0"/>
    <n v="3350"/>
    <n v="1"/>
    <s v="Sim"/>
  </r>
  <r>
    <x v="11"/>
    <n v="3"/>
    <x v="0"/>
    <n v="2500"/>
    <n v="2"/>
    <s v="Sim"/>
  </r>
  <r>
    <x v="12"/>
    <n v="2"/>
    <x v="2"/>
    <n v="1621"/>
    <n v="1"/>
    <s v="Sim"/>
  </r>
  <r>
    <x v="13"/>
    <n v="3"/>
    <x v="1"/>
    <n v="6000"/>
    <n v="3"/>
    <s v="Sim"/>
  </r>
  <r>
    <x v="14"/>
    <n v="2"/>
    <x v="0"/>
    <n v="2800"/>
    <n v="2"/>
    <s v="Sim"/>
  </r>
  <r>
    <x v="15"/>
    <n v="2"/>
    <x v="0"/>
    <n v="2900"/>
    <n v="3"/>
    <s v="Sim"/>
  </r>
  <r>
    <x v="12"/>
    <n v="3"/>
    <x v="2"/>
    <n v="1621"/>
    <n v="1"/>
    <s v="Não"/>
  </r>
  <r>
    <x v="1"/>
    <n v="2"/>
    <x v="2"/>
    <n v="1621"/>
    <n v="2"/>
    <s v="Não"/>
  </r>
  <r>
    <x v="16"/>
    <n v="1"/>
    <x v="0"/>
    <n v="2300"/>
    <n v="1"/>
    <s v="Sim"/>
  </r>
  <r>
    <x v="1"/>
    <n v="1"/>
    <x v="1"/>
    <n v="4500"/>
    <n v="1"/>
    <s v="Sim"/>
  </r>
  <r>
    <x v="10"/>
    <n v="1"/>
    <x v="0"/>
    <n v="2570"/>
    <n v="1"/>
    <s v="Sim"/>
  </r>
  <r>
    <x v="5"/>
    <n v="2"/>
    <x v="2"/>
    <n v="1621"/>
    <n v="0"/>
    <s v="Não"/>
  </r>
  <r>
    <x v="17"/>
    <n v="1"/>
    <x v="0"/>
    <n v="2350"/>
    <n v="2"/>
    <s v="Sim"/>
  </r>
  <r>
    <x v="18"/>
    <n v="4"/>
    <x v="1"/>
    <n v="6300"/>
    <n v="3"/>
    <s v="Sim"/>
  </r>
  <r>
    <x v="19"/>
    <n v="1"/>
    <x v="2"/>
    <n v="1621"/>
    <n v="2"/>
    <s v="Não"/>
  </r>
  <r>
    <x v="20"/>
    <n v="2"/>
    <x v="0"/>
    <n v="2450"/>
    <n v="1"/>
    <s v="Sim"/>
  </r>
  <r>
    <x v="21"/>
    <n v="4"/>
    <x v="1"/>
    <n v="7250"/>
    <n v="4"/>
    <s v="Sim"/>
  </r>
  <r>
    <x v="19"/>
    <n v="1"/>
    <x v="0"/>
    <n v="2800"/>
    <n v="0"/>
    <s v="Sim"/>
  </r>
  <r>
    <x v="12"/>
    <n v="1"/>
    <x v="0"/>
    <n v="2900"/>
    <n v="2"/>
    <s v="Não"/>
  </r>
  <r>
    <x v="3"/>
    <n v="3"/>
    <x v="0"/>
    <n v="3100"/>
    <n v="1"/>
    <s v="Sim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n v="40"/>
    <n v="3"/>
    <x v="0"/>
    <x v="0"/>
    <n v="3"/>
    <s v="Sim"/>
  </r>
  <r>
    <n v="25"/>
    <n v="2"/>
    <x v="1"/>
    <x v="1"/>
    <n v="1"/>
    <s v="Sim"/>
  </r>
  <r>
    <n v="32"/>
    <n v="2"/>
    <x v="0"/>
    <x v="2"/>
    <n v="0"/>
    <s v="Sim"/>
  </r>
  <r>
    <n v="30"/>
    <n v="1"/>
    <x v="1"/>
    <x v="3"/>
    <n v="0"/>
    <s v="Sim"/>
  </r>
  <r>
    <n v="34"/>
    <n v="2"/>
    <x v="2"/>
    <x v="4"/>
    <n v="1"/>
    <s v="Sim"/>
  </r>
  <r>
    <n v="20"/>
    <n v="1"/>
    <x v="2"/>
    <x v="4"/>
    <n v="0"/>
    <s v="Não"/>
  </r>
  <r>
    <n v="22"/>
    <n v="3"/>
    <x v="0"/>
    <x v="5"/>
    <n v="0"/>
    <s v="Não"/>
  </r>
  <r>
    <n v="21"/>
    <n v="3"/>
    <x v="2"/>
    <x v="4"/>
    <n v="0"/>
    <s v="Não"/>
  </r>
  <r>
    <n v="31"/>
    <n v="3"/>
    <x v="1"/>
    <x v="6"/>
    <n v="1"/>
    <s v="Sim"/>
  </r>
  <r>
    <n v="18"/>
    <n v="1"/>
    <x v="2"/>
    <x v="4"/>
    <n v="0"/>
    <s v="Não"/>
  </r>
  <r>
    <n v="30"/>
    <n v="2"/>
    <x v="0"/>
    <x v="7"/>
    <n v="1"/>
    <s v="Sim"/>
  </r>
  <r>
    <n v="41"/>
    <n v="2"/>
    <x v="0"/>
    <x v="8"/>
    <n v="1"/>
    <s v="Sim"/>
  </r>
  <r>
    <n v="36"/>
    <n v="3"/>
    <x v="0"/>
    <x v="9"/>
    <n v="2"/>
    <s v="Sim"/>
  </r>
  <r>
    <n v="27"/>
    <n v="2"/>
    <x v="2"/>
    <x v="4"/>
    <n v="1"/>
    <s v="Sim"/>
  </r>
  <r>
    <n v="43"/>
    <n v="3"/>
    <x v="1"/>
    <x v="10"/>
    <n v="3"/>
    <s v="Sim"/>
  </r>
  <r>
    <n v="37"/>
    <n v="2"/>
    <x v="0"/>
    <x v="11"/>
    <n v="2"/>
    <s v="Sim"/>
  </r>
  <r>
    <n v="50"/>
    <n v="2"/>
    <x v="0"/>
    <x v="12"/>
    <n v="3"/>
    <s v="Sim"/>
  </r>
  <r>
    <n v="27"/>
    <n v="3"/>
    <x v="2"/>
    <x v="4"/>
    <n v="1"/>
    <s v="Não"/>
  </r>
  <r>
    <n v="25"/>
    <n v="2"/>
    <x v="2"/>
    <x v="4"/>
    <n v="2"/>
    <s v="Não"/>
  </r>
  <r>
    <n v="24"/>
    <n v="1"/>
    <x v="0"/>
    <x v="13"/>
    <n v="1"/>
    <s v="Sim"/>
  </r>
  <r>
    <n v="25"/>
    <n v="1"/>
    <x v="1"/>
    <x v="14"/>
    <n v="1"/>
    <s v="Sim"/>
  </r>
  <r>
    <n v="41"/>
    <n v="1"/>
    <x v="0"/>
    <x v="15"/>
    <n v="1"/>
    <s v="Sim"/>
  </r>
  <r>
    <n v="20"/>
    <n v="2"/>
    <x v="2"/>
    <x v="4"/>
    <n v="0"/>
    <s v="Não"/>
  </r>
  <r>
    <n v="33"/>
    <n v="1"/>
    <x v="0"/>
    <x v="16"/>
    <n v="2"/>
    <s v="Sim"/>
  </r>
  <r>
    <n v="45"/>
    <n v="4"/>
    <x v="1"/>
    <x v="17"/>
    <n v="3"/>
    <s v="Sim"/>
  </r>
  <r>
    <n v="23"/>
    <n v="1"/>
    <x v="2"/>
    <x v="4"/>
    <n v="2"/>
    <s v="Não"/>
  </r>
  <r>
    <n v="35"/>
    <n v="2"/>
    <x v="0"/>
    <x v="18"/>
    <n v="1"/>
    <s v="Sim"/>
  </r>
  <r>
    <n v="55"/>
    <n v="4"/>
    <x v="1"/>
    <x v="19"/>
    <n v="4"/>
    <s v="Sim"/>
  </r>
  <r>
    <n v="23"/>
    <n v="1"/>
    <x v="0"/>
    <x v="11"/>
    <n v="0"/>
    <s v="Sim"/>
  </r>
  <r>
    <n v="27"/>
    <n v="1"/>
    <x v="0"/>
    <x v="12"/>
    <n v="2"/>
    <s v="Não"/>
  </r>
  <r>
    <n v="30"/>
    <n v="3"/>
    <x v="0"/>
    <x v="20"/>
    <n v="1"/>
    <s v="Si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F89BE-1DE2-4A13-88EB-300F04C649F7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scolaridade">
  <location ref="A3:D7" firstHeaderRow="0" firstDataRow="1" firstDataCol="1"/>
  <pivotFields count="6">
    <pivotField showAll="0"/>
    <pivotField showAll="0"/>
    <pivotField axis="axisRow" dataField="1" showAll="0">
      <items count="4">
        <item x="2"/>
        <item x="0"/>
        <item x="1"/>
        <item t="default"/>
      </items>
    </pivotField>
    <pivotField numFmtId="2"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requência Simples" fld="2" subtotal="count" baseField="2" baseItem="0"/>
    <dataField name="Porcentagem" fld="2" subtotal="count" showDataAs="percentOfTotal" baseField="2" baseItem="0" numFmtId="10"/>
    <dataField name="Frequência Acumulada" fld="2" subtotal="count" showDataAs="runTotal" baseField="2" baseItem="0"/>
  </dataFields>
  <formats count="2">
    <format dxfId="18">
      <pivotArea collapsedLevelsAreSubtotals="1" fieldPosition="0">
        <references count="1">
          <reference field="2" count="0"/>
        </references>
      </pivotArea>
    </format>
    <format dxfId="17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1DE7B9-55E2-44AF-9695-A385C66AA8DE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utomóveis">
  <location ref="A3:D6" firstHeaderRow="0" firstDataRow="1" firstDataCol="1"/>
  <pivotFields count="6">
    <pivotField showAll="0"/>
    <pivotField showAll="0"/>
    <pivotField showAll="0">
      <items count="4">
        <item x="2"/>
        <item x="0"/>
        <item x="1"/>
        <item t="default"/>
      </items>
    </pivotField>
    <pivotField numFmtId="2" showAll="0"/>
    <pivotField showAll="0"/>
    <pivotField axis="axisRow" dataField="1" showAll="0">
      <items count="3">
        <item x="1"/>
        <item x="0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requência Simples" fld="5" subtotal="count" baseField="0" baseItem="0"/>
    <dataField name="%" fld="5" subtotal="count" showDataAs="percentOfTotal" baseField="5" baseItem="0" numFmtId="10"/>
    <dataField name="Frequência Acumulada" fld="5" subtotal="count" showDataAs="runTotal" baseField="5" baseItem="0"/>
  </dataFields>
  <formats count="3">
    <format dxfId="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">
      <pivotArea collapsedLevelsAreSubtotals="1" fieldPosition="0">
        <references count="1">
          <reference field="5" count="0"/>
        </references>
      </pivotArea>
    </format>
    <format dxfId="14">
      <pivotArea dataOnly="0" labelOnly="1" fieldPosition="0">
        <references count="1">
          <reference field="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C2011-D036-4829-B37E-D54C1EBDF371}" name="Tabela dinâ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 de Serviço">
  <location ref="A3:D8" firstHeaderRow="0" firstDataRow="1" firstDataCol="1"/>
  <pivotFields count="6">
    <pivotField showAll="0"/>
    <pivotField axis="axisRow" dataField="1" showAll="0">
      <items count="5">
        <item x="2"/>
        <item x="1"/>
        <item x="0"/>
        <item x="3"/>
        <item t="default"/>
      </items>
    </pivotField>
    <pivotField showAll="0">
      <items count="4">
        <item x="2"/>
        <item x="0"/>
        <item x="1"/>
        <item t="default"/>
      </items>
    </pivotField>
    <pivotField numFmtId="2"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requência Simplês" fld="1" subtotal="count" baseField="1" baseItem="0"/>
    <dataField name="%" fld="1" subtotal="count" showDataAs="percentOfTotal" baseField="1" baseItem="0" numFmtId="10"/>
    <dataField name="Frequência Acumulada" fld="1" subtotal="count" showDataAs="runTotal" baseField="1" baseItem="0"/>
  </dataFields>
  <formats count="3">
    <format dxfId="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">
      <pivotArea collapsedLevelsAreSubtotals="1" fieldPosition="0">
        <references count="1">
          <reference field="1" count="0"/>
        </references>
      </pivotArea>
    </format>
    <format dxfId="11">
      <pivotArea dataOnly="0" labelOnly="1" fieldPosition="0">
        <references count="1"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5B2CA-F58B-4F99-B56C-4769F1FFB425}" name="Tabela dinâmica1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pendentes">
  <location ref="A3:D9" firstHeaderRow="0" firstDataRow="1" firstDataCol="1"/>
  <pivotFields count="6">
    <pivotField showAll="0"/>
    <pivotField showAll="0"/>
    <pivotField showAll="0">
      <items count="4">
        <item x="2"/>
        <item x="0"/>
        <item x="1"/>
        <item t="default"/>
      </items>
    </pivotField>
    <pivotField numFmtId="2" showAll="0"/>
    <pivotField axis="axisRow" dataField="1" showAll="0">
      <items count="6">
        <item x="2"/>
        <item x="1"/>
        <item x="3"/>
        <item x="0"/>
        <item x="4"/>
        <item t="default"/>
      </items>
    </pivotField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requência Simples" fld="4" subtotal="count" baseField="4" baseItem="0"/>
    <dataField name="%" fld="4" subtotal="count" showDataAs="percentOfTotal" baseField="4" baseItem="0" numFmtId="10"/>
    <dataField name="Frequência Acumulada" fld="4" subtotal="count" showDataAs="runTotal" baseField="4" baseItem="0"/>
  </dataFields>
  <formats count="3">
    <format dxfId="10">
      <pivotArea outline="0" collapsedLevelsAreSubtotals="1" fieldPosition="0"/>
    </format>
    <format dxfId="9">
      <pivotArea dataOnly="0" labelOnly="1" fieldPosition="0">
        <references count="1">
          <reference field="4" count="0"/>
        </references>
      </pivotArea>
    </format>
    <format dxfId="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54231-445A-45A1-9F7B-26B37723878A}" name="Tabela dinâmica1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Idade">
  <location ref="A3:D8" firstHeaderRow="0" firstDataRow="1" firstDataCol="1"/>
  <pivotFields count="6">
    <pivotField axis="axisRow" dataField="1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4">
        <item x="2"/>
        <item x="0"/>
        <item x="1"/>
        <item t="default"/>
      </items>
    </pivotField>
    <pivotField numFmtId="2" showAll="0"/>
    <pivotField showAll="0"/>
    <pivotField showAll="0"/>
  </pivotFields>
  <rowFields count="1">
    <field x="0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i" fld="0" subtotal="count" baseField="0" baseItem="1"/>
    <dataField name="%" fld="0" subtotal="count" showDataAs="percentOfTotal" baseField="0" baseItem="1" numFmtId="10"/>
    <dataField name="fac" fld="0" subtotal="count" showDataAs="runTotal" baseField="0" baseItem="1"/>
  </dataFields>
  <formats count="6">
    <format dxfId="7">
      <pivotArea dataOnly="0" labelOnly="1" fieldPosition="0">
        <references count="1">
          <reference field="0" count="4">
            <x v="1"/>
            <x v="2"/>
            <x v="3"/>
            <x v="4"/>
          </reference>
        </references>
      </pivotArea>
    </format>
    <format dxfId="6">
      <pivotArea dataOnly="0" labelOnly="1" grandRow="1" outline="0" fieldPosition="0"/>
    </format>
    <format dxfId="5">
      <pivotArea outline="0" fieldPosition="0">
        <references count="1">
          <reference field="4294967294" count="1">
            <x v="1"/>
          </reference>
        </references>
      </pivotArea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field="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0BA603-5C7A-48CD-9259-CB594FDA5FC7}" name="Tabela dinâmica1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0" firstHeaderRow="0" firstDataRow="1" firstDataCol="1"/>
  <pivotFields count="6">
    <pivotField showAll="0"/>
    <pivotField showAll="0"/>
    <pivotField showAll="0">
      <items count="4">
        <item x="2"/>
        <item x="0"/>
        <item x="1"/>
        <item t="default"/>
      </items>
    </pivotField>
    <pivotField axis="axisRow" dataField="1" numFmtId="2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</pivotFields>
  <rowFields count="1">
    <field x="3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i" fld="3" subtotal="count" baseField="3" baseItem="1"/>
    <dataField name="%" fld="3" subtotal="count" showDataAs="percentOfTotal" baseField="3" baseItem="1" numFmtId="10"/>
    <dataField name="fac" fld="3" subtotal="count" showDataAs="runTotal" baseField="3" baseItem="1"/>
  </dataFields>
  <formats count="2"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D2C17-42B0-42EE-8532-52ACD64DF11B}">
  <dimension ref="A3:D15"/>
  <sheetViews>
    <sheetView workbookViewId="0">
      <selection activeCell="A12" sqref="A12"/>
    </sheetView>
  </sheetViews>
  <sheetFormatPr defaultRowHeight="12.5" x14ac:dyDescent="0.25"/>
  <cols>
    <col min="1" max="1" width="14.1796875" bestFit="1" customWidth="1"/>
    <col min="2" max="2" width="17.81640625" bestFit="1" customWidth="1"/>
    <col min="3" max="3" width="12.1796875" bestFit="1" customWidth="1"/>
    <col min="4" max="4" width="20.54296875" bestFit="1" customWidth="1"/>
  </cols>
  <sheetData>
    <row r="3" spans="1:4" x14ac:dyDescent="0.25">
      <c r="A3" s="6" t="s">
        <v>1</v>
      </c>
      <c r="B3" t="s">
        <v>13</v>
      </c>
      <c r="C3" t="s">
        <v>14</v>
      </c>
      <c r="D3" t="s">
        <v>15</v>
      </c>
    </row>
    <row r="4" spans="1:4" x14ac:dyDescent="0.25">
      <c r="A4" s="3" t="s">
        <v>7</v>
      </c>
      <c r="B4" s="10">
        <v>9</v>
      </c>
      <c r="C4" s="11">
        <v>0.29032258064516131</v>
      </c>
      <c r="D4" s="10">
        <v>9</v>
      </c>
    </row>
    <row r="5" spans="1:4" x14ac:dyDescent="0.25">
      <c r="A5" s="3" t="s">
        <v>5</v>
      </c>
      <c r="B5" s="10">
        <v>15</v>
      </c>
      <c r="C5" s="11">
        <v>0.4838709677419355</v>
      </c>
      <c r="D5" s="10">
        <v>24</v>
      </c>
    </row>
    <row r="6" spans="1:4" x14ac:dyDescent="0.25">
      <c r="A6" s="3" t="s">
        <v>6</v>
      </c>
      <c r="B6" s="10">
        <v>7</v>
      </c>
      <c r="C6" s="11">
        <v>0.22580645161290322</v>
      </c>
      <c r="D6" s="10">
        <v>31</v>
      </c>
    </row>
    <row r="7" spans="1:4" x14ac:dyDescent="0.25">
      <c r="A7" s="7" t="s">
        <v>12</v>
      </c>
      <c r="B7" s="8">
        <v>31</v>
      </c>
      <c r="C7" s="9">
        <v>1</v>
      </c>
      <c r="D7" s="8"/>
    </row>
    <row r="11" spans="1:4" ht="13" x14ac:dyDescent="0.3">
      <c r="A11" s="13" t="s">
        <v>1</v>
      </c>
      <c r="B11" s="13" t="s">
        <v>13</v>
      </c>
    </row>
    <row r="12" spans="1:4" x14ac:dyDescent="0.25">
      <c r="A12" s="3" t="s">
        <v>7</v>
      </c>
      <c r="B12" s="10">
        <v>9</v>
      </c>
    </row>
    <row r="13" spans="1:4" x14ac:dyDescent="0.25">
      <c r="A13" s="3" t="s">
        <v>5</v>
      </c>
      <c r="B13" s="10">
        <v>15</v>
      </c>
    </row>
    <row r="14" spans="1:4" x14ac:dyDescent="0.25">
      <c r="A14" s="3" t="s">
        <v>6</v>
      </c>
      <c r="B14" s="10">
        <v>7</v>
      </c>
    </row>
    <row r="15" spans="1:4" ht="13" x14ac:dyDescent="0.3">
      <c r="A15" s="14" t="s">
        <v>12</v>
      </c>
      <c r="B15" s="15">
        <v>31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F2BC-57D6-4B11-99C1-B8FCF56E60A6}">
  <dimension ref="A3:D11"/>
  <sheetViews>
    <sheetView topLeftCell="A7" workbookViewId="0">
      <selection activeCell="B22" sqref="B22"/>
    </sheetView>
  </sheetViews>
  <sheetFormatPr defaultRowHeight="12.5" x14ac:dyDescent="0.25"/>
  <cols>
    <col min="1" max="1" width="17.7265625" bestFit="1" customWidth="1"/>
    <col min="2" max="2" width="17.81640625" bestFit="1" customWidth="1"/>
    <col min="3" max="3" width="7.90625" bestFit="1" customWidth="1"/>
    <col min="4" max="4" width="20.54296875" bestFit="1" customWidth="1"/>
  </cols>
  <sheetData>
    <row r="3" spans="1:4" x14ac:dyDescent="0.25">
      <c r="A3" s="6" t="s">
        <v>17</v>
      </c>
      <c r="B3" t="s">
        <v>13</v>
      </c>
      <c r="C3" s="3" t="s">
        <v>16</v>
      </c>
      <c r="D3" t="s">
        <v>15</v>
      </c>
    </row>
    <row r="4" spans="1:4" x14ac:dyDescent="0.25">
      <c r="A4" s="3" t="s">
        <v>9</v>
      </c>
      <c r="B4" s="10">
        <v>9</v>
      </c>
      <c r="C4" s="11">
        <v>0.29032258064516131</v>
      </c>
      <c r="D4" s="10">
        <v>9</v>
      </c>
    </row>
    <row r="5" spans="1:4" x14ac:dyDescent="0.25">
      <c r="A5" s="3" t="s">
        <v>8</v>
      </c>
      <c r="B5" s="10">
        <v>22</v>
      </c>
      <c r="C5" s="11">
        <v>0.70967741935483875</v>
      </c>
      <c r="D5" s="10">
        <v>31</v>
      </c>
    </row>
    <row r="6" spans="1:4" x14ac:dyDescent="0.25">
      <c r="A6" s="7" t="s">
        <v>12</v>
      </c>
      <c r="B6" s="8">
        <v>31</v>
      </c>
      <c r="C6" s="9">
        <v>1</v>
      </c>
      <c r="D6" s="8"/>
    </row>
    <row r="9" spans="1:4" ht="13" x14ac:dyDescent="0.3">
      <c r="A9" s="13" t="s">
        <v>17</v>
      </c>
      <c r="B9" s="13" t="s">
        <v>13</v>
      </c>
    </row>
    <row r="10" spans="1:4" x14ac:dyDescent="0.25">
      <c r="A10" s="3" t="s">
        <v>9</v>
      </c>
      <c r="B10" s="10">
        <v>9</v>
      </c>
    </row>
    <row r="11" spans="1:4" x14ac:dyDescent="0.25">
      <c r="A11" s="3" t="s">
        <v>8</v>
      </c>
      <c r="B11" s="10">
        <v>22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582C7-36DF-48F2-89F2-E87C593B2FA1}">
  <dimension ref="A3:D15"/>
  <sheetViews>
    <sheetView topLeftCell="A15" workbookViewId="0">
      <selection activeCell="B20" sqref="B20"/>
    </sheetView>
  </sheetViews>
  <sheetFormatPr defaultRowHeight="12.5" x14ac:dyDescent="0.25"/>
  <cols>
    <col min="1" max="1" width="18.7265625" bestFit="1" customWidth="1"/>
    <col min="2" max="2" width="17.81640625" bestFit="1" customWidth="1"/>
    <col min="3" max="3" width="7.90625" bestFit="1" customWidth="1"/>
    <col min="4" max="4" width="21.36328125" customWidth="1"/>
    <col min="5" max="5" width="30.81640625" bestFit="1" customWidth="1"/>
  </cols>
  <sheetData>
    <row r="3" spans="1:4" x14ac:dyDescent="0.25">
      <c r="A3" s="6" t="s">
        <v>18</v>
      </c>
      <c r="B3" t="s">
        <v>19</v>
      </c>
      <c r="C3" s="3" t="s">
        <v>16</v>
      </c>
      <c r="D3" t="s">
        <v>15</v>
      </c>
    </row>
    <row r="4" spans="1:4" x14ac:dyDescent="0.25">
      <c r="A4" s="3">
        <v>1</v>
      </c>
      <c r="B4" s="10">
        <v>10</v>
      </c>
      <c r="C4" s="11">
        <v>0.32258064516129031</v>
      </c>
      <c r="D4" s="10">
        <v>10</v>
      </c>
    </row>
    <row r="5" spans="1:4" x14ac:dyDescent="0.25">
      <c r="A5" s="3">
        <v>2</v>
      </c>
      <c r="B5" s="10">
        <v>11</v>
      </c>
      <c r="C5" s="11">
        <v>0.35483870967741937</v>
      </c>
      <c r="D5" s="10">
        <v>21</v>
      </c>
    </row>
    <row r="6" spans="1:4" x14ac:dyDescent="0.25">
      <c r="A6" s="3">
        <v>3</v>
      </c>
      <c r="B6" s="10">
        <v>8</v>
      </c>
      <c r="C6" s="11">
        <v>0.25806451612903225</v>
      </c>
      <c r="D6" s="10">
        <v>29</v>
      </c>
    </row>
    <row r="7" spans="1:4" x14ac:dyDescent="0.25">
      <c r="A7" s="3">
        <v>4</v>
      </c>
      <c r="B7" s="10">
        <v>2</v>
      </c>
      <c r="C7" s="11">
        <v>6.4516129032258063E-2</v>
      </c>
      <c r="D7" s="10">
        <v>31</v>
      </c>
    </row>
    <row r="8" spans="1:4" x14ac:dyDescent="0.25">
      <c r="A8" s="7" t="s">
        <v>12</v>
      </c>
      <c r="B8" s="8">
        <v>31</v>
      </c>
      <c r="C8" s="9">
        <v>1</v>
      </c>
      <c r="D8" s="8"/>
    </row>
    <row r="10" spans="1:4" ht="13" x14ac:dyDescent="0.3">
      <c r="A10" s="13" t="s">
        <v>18</v>
      </c>
      <c r="B10" s="13" t="s">
        <v>19</v>
      </c>
    </row>
    <row r="11" spans="1:4" x14ac:dyDescent="0.25">
      <c r="A11" s="3">
        <v>1</v>
      </c>
      <c r="B11" s="10">
        <v>10</v>
      </c>
    </row>
    <row r="12" spans="1:4" x14ac:dyDescent="0.25">
      <c r="A12" s="3">
        <v>2</v>
      </c>
      <c r="B12" s="10">
        <v>11</v>
      </c>
    </row>
    <row r="13" spans="1:4" x14ac:dyDescent="0.25">
      <c r="A13" s="3">
        <v>3</v>
      </c>
      <c r="B13" s="10">
        <v>8</v>
      </c>
    </row>
    <row r="14" spans="1:4" x14ac:dyDescent="0.25">
      <c r="A14" s="3">
        <v>4</v>
      </c>
      <c r="B14" s="10">
        <v>2</v>
      </c>
    </row>
    <row r="15" spans="1:4" ht="13" x14ac:dyDescent="0.3">
      <c r="A15" s="14" t="s">
        <v>12</v>
      </c>
      <c r="B15" s="15">
        <v>31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06DD1-32DB-4EBB-848E-E62F9E1B9B4E}">
  <dimension ref="A3:D17"/>
  <sheetViews>
    <sheetView topLeftCell="A4" workbookViewId="0">
      <selection activeCell="B31" sqref="B31"/>
    </sheetView>
  </sheetViews>
  <sheetFormatPr defaultRowHeight="12.5" x14ac:dyDescent="0.25"/>
  <cols>
    <col min="1" max="1" width="14.36328125" bestFit="1" customWidth="1"/>
    <col min="2" max="2" width="17.81640625" bestFit="1" customWidth="1"/>
    <col min="3" max="3" width="7.90625" bestFit="1" customWidth="1"/>
    <col min="4" max="4" width="20.54296875" bestFit="1" customWidth="1"/>
    <col min="5" max="5" width="26.1796875" bestFit="1" customWidth="1"/>
  </cols>
  <sheetData>
    <row r="3" spans="1:4" x14ac:dyDescent="0.25">
      <c r="A3" s="6" t="s">
        <v>20</v>
      </c>
      <c r="B3" t="s">
        <v>13</v>
      </c>
      <c r="C3" s="3" t="s">
        <v>16</v>
      </c>
      <c r="D3" t="s">
        <v>15</v>
      </c>
    </row>
    <row r="4" spans="1:4" x14ac:dyDescent="0.25">
      <c r="A4" s="3">
        <v>0</v>
      </c>
      <c r="B4" s="10">
        <v>8</v>
      </c>
      <c r="C4" s="11">
        <v>0.25806451612903225</v>
      </c>
      <c r="D4" s="10">
        <v>8</v>
      </c>
    </row>
    <row r="5" spans="1:4" x14ac:dyDescent="0.25">
      <c r="A5" s="3">
        <v>1</v>
      </c>
      <c r="B5" s="10">
        <v>12</v>
      </c>
      <c r="C5" s="11">
        <v>0.38709677419354838</v>
      </c>
      <c r="D5" s="10">
        <v>20</v>
      </c>
    </row>
    <row r="6" spans="1:4" x14ac:dyDescent="0.25">
      <c r="A6" s="3">
        <v>2</v>
      </c>
      <c r="B6" s="10">
        <v>6</v>
      </c>
      <c r="C6" s="11">
        <v>0.19354838709677419</v>
      </c>
      <c r="D6" s="10">
        <v>26</v>
      </c>
    </row>
    <row r="7" spans="1:4" x14ac:dyDescent="0.25">
      <c r="A7" s="3">
        <v>3</v>
      </c>
      <c r="B7" s="10">
        <v>4</v>
      </c>
      <c r="C7" s="11">
        <v>0.12903225806451613</v>
      </c>
      <c r="D7" s="10">
        <v>30</v>
      </c>
    </row>
    <row r="8" spans="1:4" x14ac:dyDescent="0.25">
      <c r="A8" s="3">
        <v>4</v>
      </c>
      <c r="B8" s="10">
        <v>1</v>
      </c>
      <c r="C8" s="11">
        <v>3.2258064516129031E-2</v>
      </c>
      <c r="D8" s="10">
        <v>31</v>
      </c>
    </row>
    <row r="9" spans="1:4" x14ac:dyDescent="0.25">
      <c r="A9" s="7" t="s">
        <v>12</v>
      </c>
      <c r="B9" s="10">
        <v>31</v>
      </c>
      <c r="C9" s="11">
        <v>1</v>
      </c>
      <c r="D9" s="10"/>
    </row>
    <row r="11" spans="1:4" ht="13" x14ac:dyDescent="0.3">
      <c r="A11" s="13" t="s">
        <v>20</v>
      </c>
      <c r="B11" s="13" t="s">
        <v>13</v>
      </c>
    </row>
    <row r="12" spans="1:4" x14ac:dyDescent="0.25">
      <c r="A12" s="3">
        <v>0</v>
      </c>
      <c r="B12" s="10">
        <v>8</v>
      </c>
    </row>
    <row r="13" spans="1:4" x14ac:dyDescent="0.25">
      <c r="A13" s="3">
        <v>1</v>
      </c>
      <c r="B13" s="10">
        <v>12</v>
      </c>
    </row>
    <row r="14" spans="1:4" x14ac:dyDescent="0.25">
      <c r="A14" s="3">
        <v>2</v>
      </c>
      <c r="B14" s="10">
        <v>6</v>
      </c>
    </row>
    <row r="15" spans="1:4" x14ac:dyDescent="0.25">
      <c r="A15" s="3">
        <v>3</v>
      </c>
      <c r="B15" s="10">
        <v>4</v>
      </c>
    </row>
    <row r="16" spans="1:4" x14ac:dyDescent="0.25">
      <c r="A16" s="3">
        <v>4</v>
      </c>
      <c r="B16" s="10">
        <v>1</v>
      </c>
    </row>
    <row r="17" spans="1:2" ht="13" x14ac:dyDescent="0.3">
      <c r="A17" s="14" t="s">
        <v>12</v>
      </c>
      <c r="B17" s="16">
        <v>31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59170-1BD3-402A-9627-5AEF67D1DC36}">
  <dimension ref="A3:D15"/>
  <sheetViews>
    <sheetView workbookViewId="0">
      <selection activeCell="M9" sqref="M9"/>
    </sheetView>
  </sheetViews>
  <sheetFormatPr defaultRowHeight="12.5" x14ac:dyDescent="0.25"/>
  <cols>
    <col min="1" max="1" width="17.7265625" bestFit="1" customWidth="1"/>
    <col min="2" max="2" width="2.81640625" bestFit="1" customWidth="1"/>
    <col min="3" max="3" width="7.90625" bestFit="1" customWidth="1"/>
    <col min="4" max="4" width="3.453125" bestFit="1" customWidth="1"/>
  </cols>
  <sheetData>
    <row r="3" spans="1:4" x14ac:dyDescent="0.25">
      <c r="A3" s="17" t="s">
        <v>0</v>
      </c>
      <c r="B3" s="3" t="s">
        <v>31</v>
      </c>
      <c r="C3" s="3" t="s">
        <v>16</v>
      </c>
      <c r="D3" s="3" t="s">
        <v>32</v>
      </c>
    </row>
    <row r="4" spans="1:4" x14ac:dyDescent="0.25">
      <c r="A4" s="3" t="s">
        <v>21</v>
      </c>
      <c r="B4" s="10">
        <v>14</v>
      </c>
      <c r="C4" s="11">
        <v>0.45161290322580644</v>
      </c>
      <c r="D4" s="10">
        <v>14</v>
      </c>
    </row>
    <row r="5" spans="1:4" x14ac:dyDescent="0.25">
      <c r="A5" s="3" t="s">
        <v>22</v>
      </c>
      <c r="B5" s="10">
        <v>10</v>
      </c>
      <c r="C5" s="11">
        <v>0.32258064516129031</v>
      </c>
      <c r="D5" s="10">
        <v>24</v>
      </c>
    </row>
    <row r="6" spans="1:4" x14ac:dyDescent="0.25">
      <c r="A6" s="3" t="s">
        <v>23</v>
      </c>
      <c r="B6" s="10">
        <v>5</v>
      </c>
      <c r="C6" s="11">
        <v>0.16129032258064516</v>
      </c>
      <c r="D6" s="10">
        <v>29</v>
      </c>
    </row>
    <row r="7" spans="1:4" x14ac:dyDescent="0.25">
      <c r="A7" s="3" t="s">
        <v>24</v>
      </c>
      <c r="B7" s="10">
        <v>2</v>
      </c>
      <c r="C7" s="11">
        <v>6.4516129032258063E-2</v>
      </c>
      <c r="D7" s="10">
        <v>31</v>
      </c>
    </row>
    <row r="8" spans="1:4" x14ac:dyDescent="0.25">
      <c r="A8" s="3" t="s">
        <v>12</v>
      </c>
      <c r="B8" s="10">
        <v>31</v>
      </c>
      <c r="C8" s="11">
        <v>1</v>
      </c>
      <c r="D8" s="10"/>
    </row>
    <row r="10" spans="1:4" ht="13" x14ac:dyDescent="0.3">
      <c r="A10" s="18" t="s">
        <v>0</v>
      </c>
      <c r="B10" s="18" t="s">
        <v>31</v>
      </c>
    </row>
    <row r="11" spans="1:4" x14ac:dyDescent="0.25">
      <c r="A11" s="3" t="s">
        <v>21</v>
      </c>
      <c r="B11" s="10">
        <v>14</v>
      </c>
    </row>
    <row r="12" spans="1:4" x14ac:dyDescent="0.25">
      <c r="A12" s="3" t="s">
        <v>22</v>
      </c>
      <c r="B12" s="10">
        <v>10</v>
      </c>
    </row>
    <row r="13" spans="1:4" x14ac:dyDescent="0.25">
      <c r="A13" s="3" t="s">
        <v>23</v>
      </c>
      <c r="B13" s="10">
        <v>5</v>
      </c>
    </row>
    <row r="14" spans="1:4" x14ac:dyDescent="0.25">
      <c r="A14" s="3" t="s">
        <v>24</v>
      </c>
      <c r="B14" s="10">
        <v>2</v>
      </c>
    </row>
    <row r="15" spans="1:4" ht="13" x14ac:dyDescent="0.3">
      <c r="A15" s="19" t="s">
        <v>12</v>
      </c>
      <c r="B15" s="16">
        <v>31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22464-4CF4-4990-8F83-FD479F8E583F}">
  <dimension ref="A3:D10"/>
  <sheetViews>
    <sheetView workbookViewId="0">
      <selection activeCell="G10" sqref="G10"/>
    </sheetView>
  </sheetViews>
  <sheetFormatPr defaultRowHeight="12.5" x14ac:dyDescent="0.25"/>
  <cols>
    <col min="1" max="1" width="17.7265625" bestFit="1" customWidth="1"/>
    <col min="2" max="2" width="2.81640625" bestFit="1" customWidth="1"/>
    <col min="3" max="3" width="7.90625" bestFit="1" customWidth="1"/>
    <col min="4" max="4" width="3.453125" customWidth="1"/>
  </cols>
  <sheetData>
    <row r="3" spans="1:4" x14ac:dyDescent="0.25">
      <c r="A3" s="6" t="s">
        <v>11</v>
      </c>
      <c r="B3" s="3" t="s">
        <v>31</v>
      </c>
      <c r="C3" s="3" t="s">
        <v>16</v>
      </c>
      <c r="D3" s="3" t="s">
        <v>32</v>
      </c>
    </row>
    <row r="4" spans="1:4" x14ac:dyDescent="0.25">
      <c r="A4" s="12" t="s">
        <v>25</v>
      </c>
      <c r="B4" s="10">
        <v>14</v>
      </c>
      <c r="C4" s="11">
        <v>0.45161290322580644</v>
      </c>
      <c r="D4" s="10">
        <v>14</v>
      </c>
    </row>
    <row r="5" spans="1:4" x14ac:dyDescent="0.25">
      <c r="A5" s="12" t="s">
        <v>26</v>
      </c>
      <c r="B5" s="10">
        <v>10</v>
      </c>
      <c r="C5" s="11">
        <v>0.32258064516129031</v>
      </c>
      <c r="D5" s="10">
        <v>24</v>
      </c>
    </row>
    <row r="6" spans="1:4" x14ac:dyDescent="0.25">
      <c r="A6" s="12" t="s">
        <v>27</v>
      </c>
      <c r="B6" s="10">
        <v>2</v>
      </c>
      <c r="C6" s="11">
        <v>6.4516129032258063E-2</v>
      </c>
      <c r="D6" s="10">
        <v>26</v>
      </c>
    </row>
    <row r="7" spans="1:4" x14ac:dyDescent="0.25">
      <c r="A7" s="12" t="s">
        <v>28</v>
      </c>
      <c r="B7" s="10">
        <v>2</v>
      </c>
      <c r="C7" s="11">
        <v>6.4516129032258063E-2</v>
      </c>
      <c r="D7" s="10">
        <v>28</v>
      </c>
    </row>
    <row r="8" spans="1:4" x14ac:dyDescent="0.25">
      <c r="A8" s="12" t="s">
        <v>29</v>
      </c>
      <c r="B8" s="10">
        <v>2</v>
      </c>
      <c r="C8" s="11">
        <v>6.4516129032258063E-2</v>
      </c>
      <c r="D8" s="10">
        <v>30</v>
      </c>
    </row>
    <row r="9" spans="1:4" x14ac:dyDescent="0.25">
      <c r="A9" s="12" t="s">
        <v>30</v>
      </c>
      <c r="B9" s="10">
        <v>1</v>
      </c>
      <c r="C9" s="11">
        <v>3.2258064516129031E-2</v>
      </c>
      <c r="D9" s="10">
        <v>31</v>
      </c>
    </row>
    <row r="10" spans="1:4" x14ac:dyDescent="0.25">
      <c r="A10" s="12" t="s">
        <v>12</v>
      </c>
      <c r="B10" s="10">
        <v>31</v>
      </c>
      <c r="C10" s="11">
        <v>1</v>
      </c>
      <c r="D10" s="10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107"/>
  <sheetViews>
    <sheetView tabSelected="1" topLeftCell="C63" zoomScale="99" zoomScaleNormal="99" workbookViewId="0">
      <selection activeCell="K81" sqref="K81"/>
    </sheetView>
  </sheetViews>
  <sheetFormatPr defaultRowHeight="12.5" x14ac:dyDescent="0.25"/>
  <cols>
    <col min="1" max="1" width="15" customWidth="1"/>
    <col min="2" max="2" width="6" customWidth="1"/>
    <col min="4" max="4" width="11.81640625" customWidth="1"/>
    <col min="5" max="5" width="12.1796875" bestFit="1" customWidth="1"/>
    <col min="6" max="6" width="13.54296875" customWidth="1"/>
    <col min="7" max="7" width="10.54296875" customWidth="1"/>
    <col min="8" max="8" width="16.7265625" customWidth="1"/>
    <col min="9" max="9" width="10" customWidth="1"/>
    <col min="10" max="10" width="8.26953125" customWidth="1"/>
    <col min="11" max="11" width="11.54296875" customWidth="1"/>
    <col min="15" max="15" width="10.453125" bestFit="1" customWidth="1"/>
    <col min="16" max="16" width="12.81640625" customWidth="1"/>
  </cols>
  <sheetData>
    <row r="2" spans="2:17" ht="50.5" thickBot="1" x14ac:dyDescent="0.3">
      <c r="B2" s="5" t="s">
        <v>0</v>
      </c>
      <c r="C2" s="5" t="s">
        <v>4</v>
      </c>
      <c r="D2" s="5" t="s">
        <v>1</v>
      </c>
      <c r="E2" s="5" t="s">
        <v>10</v>
      </c>
      <c r="F2" s="5" t="s">
        <v>2</v>
      </c>
      <c r="G2" s="5" t="s">
        <v>3</v>
      </c>
      <c r="H2" s="1"/>
      <c r="I2" s="1"/>
    </row>
    <row r="3" spans="2:17" x14ac:dyDescent="0.25">
      <c r="B3" s="3">
        <v>40</v>
      </c>
      <c r="C3" s="3">
        <v>3</v>
      </c>
      <c r="D3" s="3" t="s">
        <v>5</v>
      </c>
      <c r="E3" s="4">
        <v>3400</v>
      </c>
      <c r="F3" s="3">
        <v>3</v>
      </c>
      <c r="G3" s="3" t="s">
        <v>8</v>
      </c>
    </row>
    <row r="4" spans="2:17" x14ac:dyDescent="0.25">
      <c r="B4" s="3">
        <v>25</v>
      </c>
      <c r="C4" s="3">
        <v>2</v>
      </c>
      <c r="D4" s="3" t="s">
        <v>6</v>
      </c>
      <c r="E4" s="4">
        <v>4300</v>
      </c>
      <c r="F4" s="3">
        <v>1</v>
      </c>
      <c r="G4" s="3" t="s">
        <v>8</v>
      </c>
      <c r="L4" s="27" t="s">
        <v>33</v>
      </c>
      <c r="M4" s="27" t="s">
        <v>34</v>
      </c>
      <c r="N4" s="27" t="s">
        <v>35</v>
      </c>
      <c r="O4" s="27" t="s">
        <v>38</v>
      </c>
      <c r="P4" s="27" t="s">
        <v>39</v>
      </c>
      <c r="Q4" s="27" t="s">
        <v>40</v>
      </c>
    </row>
    <row r="5" spans="2:17" x14ac:dyDescent="0.25">
      <c r="B5" s="3">
        <v>32</v>
      </c>
      <c r="C5" s="3">
        <v>2</v>
      </c>
      <c r="D5" s="3" t="s">
        <v>5</v>
      </c>
      <c r="E5" s="4">
        <v>3500</v>
      </c>
      <c r="F5" s="3">
        <v>0</v>
      </c>
      <c r="G5" s="3" t="s">
        <v>8</v>
      </c>
      <c r="J5" s="2"/>
      <c r="K5" s="23" t="s">
        <v>36</v>
      </c>
      <c r="L5" s="22">
        <f>AVERAGE(C3:C33)</f>
        <v>2.064516129032258</v>
      </c>
      <c r="M5" s="21" cm="1">
        <f t="array" ref="M5">_xlfn.MODE.MULT(C3:C33)</f>
        <v>2</v>
      </c>
      <c r="N5" s="21">
        <f>MEDIAN(C3:C33)</f>
        <v>2</v>
      </c>
      <c r="O5" s="22">
        <f>_xlfn.VAR.S(C3:C33)</f>
        <v>0.86236559139784963</v>
      </c>
      <c r="P5" s="22">
        <f>_xlfn.STDEV.S(C3:C33)</f>
        <v>0.92863641507203976</v>
      </c>
      <c r="Q5" s="22">
        <f>P5/L5 *100</f>
        <v>44.980826355051931</v>
      </c>
    </row>
    <row r="6" spans="2:17" x14ac:dyDescent="0.25">
      <c r="B6" s="3">
        <v>30</v>
      </c>
      <c r="C6" s="3">
        <v>1</v>
      </c>
      <c r="D6" s="3" t="s">
        <v>6</v>
      </c>
      <c r="E6" s="4">
        <v>5000</v>
      </c>
      <c r="F6" s="3">
        <v>0</v>
      </c>
      <c r="G6" s="3" t="s">
        <v>8</v>
      </c>
      <c r="J6" s="2"/>
      <c r="K6" s="24" t="s">
        <v>37</v>
      </c>
      <c r="L6" s="22">
        <f>AVERAGE(E3:E33)</f>
        <v>3115.8709677419356</v>
      </c>
      <c r="M6" s="21" cm="1">
        <f t="array" ref="M6">_xlfn.MODE.MULT(E3:E33)</f>
        <v>1621</v>
      </c>
      <c r="N6" s="22">
        <f>MEDIAN(E3:E33)</f>
        <v>2800</v>
      </c>
      <c r="O6" s="22">
        <f>_xlfn.VAR.S(E3:E33)</f>
        <v>2277568.9827956995</v>
      </c>
      <c r="P6" s="22">
        <f>_xlfn.STDEV.S(E3:E33)</f>
        <v>1509.161682125444</v>
      </c>
      <c r="Q6" s="22">
        <f>P6/L6 * 100</f>
        <v>48.434665547756303</v>
      </c>
    </row>
    <row r="7" spans="2:17" x14ac:dyDescent="0.25">
      <c r="B7" s="3">
        <v>34</v>
      </c>
      <c r="C7" s="3">
        <v>2</v>
      </c>
      <c r="D7" s="3" t="s">
        <v>7</v>
      </c>
      <c r="E7" s="4">
        <v>1621</v>
      </c>
      <c r="F7" s="3">
        <v>1</v>
      </c>
      <c r="G7" s="3" t="s">
        <v>8</v>
      </c>
      <c r="J7" s="2"/>
      <c r="K7" s="25" t="s">
        <v>20</v>
      </c>
      <c r="L7" s="22">
        <f>AVERAGE(F3:F33)</f>
        <v>1.2903225806451613</v>
      </c>
      <c r="M7" s="21" cm="1">
        <f t="array" ref="M7">_xlfn.MODE.MULT(F3:F33)</f>
        <v>1</v>
      </c>
      <c r="N7" s="21">
        <f>MEDIAN(F3:F33)</f>
        <v>1</v>
      </c>
      <c r="O7" s="22">
        <f>_xlfn.VAR.S(F3:F33)</f>
        <v>1.2129032258064518</v>
      </c>
      <c r="P7" s="22">
        <f>_xlfn.STDEV.S(F3:F33)</f>
        <v>1.1013188574642911</v>
      </c>
      <c r="Q7" s="22">
        <f>P7/L7 * 100</f>
        <v>85.352211453482568</v>
      </c>
    </row>
    <row r="8" spans="2:17" x14ac:dyDescent="0.25">
      <c r="B8" s="3">
        <v>20</v>
      </c>
      <c r="C8" s="3">
        <v>1</v>
      </c>
      <c r="D8" s="3" t="s">
        <v>7</v>
      </c>
      <c r="E8" s="4">
        <v>1621</v>
      </c>
      <c r="F8" s="3">
        <v>0</v>
      </c>
      <c r="G8" s="3" t="s">
        <v>9</v>
      </c>
      <c r="J8" s="2"/>
      <c r="K8" s="26" t="s">
        <v>0</v>
      </c>
      <c r="L8" s="22">
        <f>AVERAGE(B3:B33)</f>
        <v>31.29032258064516</v>
      </c>
      <c r="M8" s="21" cm="1">
        <f t="array" ref="M8:M10">_xlfn.MODE.MULT(B3:B33)</f>
        <v>25</v>
      </c>
      <c r="N8" s="21">
        <f>MEDIAN(B3:B33)</f>
        <v>30</v>
      </c>
      <c r="O8" s="22">
        <f>_xlfn.VAR.S(B3:B33)</f>
        <v>85.812903225806437</v>
      </c>
      <c r="P8" s="22">
        <f>_xlfn.STDEV.S(B3:B33)</f>
        <v>9.2635254210158262</v>
      </c>
      <c r="Q8" s="22">
        <f>P8/L8 * 100</f>
        <v>29.605081242421715</v>
      </c>
    </row>
    <row r="9" spans="2:17" x14ac:dyDescent="0.25">
      <c r="B9" s="3">
        <v>22</v>
      </c>
      <c r="C9" s="3">
        <v>3</v>
      </c>
      <c r="D9" s="3" t="s">
        <v>5</v>
      </c>
      <c r="E9" s="4">
        <v>3578</v>
      </c>
      <c r="F9" s="3">
        <v>0</v>
      </c>
      <c r="G9" s="3" t="s">
        <v>9</v>
      </c>
      <c r="J9" s="2"/>
      <c r="L9" s="3"/>
      <c r="M9" s="21">
        <v>30</v>
      </c>
      <c r="N9" s="3"/>
    </row>
    <row r="10" spans="2:17" x14ac:dyDescent="0.25">
      <c r="B10" s="3">
        <v>21</v>
      </c>
      <c r="C10" s="3">
        <v>3</v>
      </c>
      <c r="D10" s="3" t="s">
        <v>7</v>
      </c>
      <c r="E10" s="4">
        <v>1621</v>
      </c>
      <c r="F10" s="3">
        <v>0</v>
      </c>
      <c r="G10" s="3" t="s">
        <v>9</v>
      </c>
      <c r="K10" s="3"/>
      <c r="L10" s="3"/>
      <c r="M10" s="21">
        <v>27</v>
      </c>
      <c r="N10" s="3"/>
    </row>
    <row r="11" spans="2:17" x14ac:dyDescent="0.25">
      <c r="B11" s="3">
        <v>31</v>
      </c>
      <c r="C11" s="3">
        <v>3</v>
      </c>
      <c r="D11" s="3" t="s">
        <v>6</v>
      </c>
      <c r="E11" s="4">
        <v>4705</v>
      </c>
      <c r="F11" s="3">
        <v>1</v>
      </c>
      <c r="G11" s="3" t="s">
        <v>8</v>
      </c>
    </row>
    <row r="12" spans="2:17" x14ac:dyDescent="0.25">
      <c r="B12" s="3">
        <v>18</v>
      </c>
      <c r="C12" s="3">
        <v>1</v>
      </c>
      <c r="D12" s="3" t="s">
        <v>7</v>
      </c>
      <c r="E12" s="4">
        <v>1621</v>
      </c>
      <c r="F12" s="3">
        <v>0</v>
      </c>
      <c r="G12" s="3" t="s">
        <v>9</v>
      </c>
    </row>
    <row r="13" spans="2:17" x14ac:dyDescent="0.25">
      <c r="B13" s="3">
        <v>30</v>
      </c>
      <c r="C13" s="3">
        <v>2</v>
      </c>
      <c r="D13" s="3" t="s">
        <v>5</v>
      </c>
      <c r="E13" s="4">
        <v>3450</v>
      </c>
      <c r="F13" s="3">
        <v>1</v>
      </c>
      <c r="G13" s="3" t="s">
        <v>8</v>
      </c>
    </row>
    <row r="14" spans="2:17" x14ac:dyDescent="0.25">
      <c r="B14" s="3">
        <v>41</v>
      </c>
      <c r="C14" s="3">
        <v>2</v>
      </c>
      <c r="D14" s="3" t="s">
        <v>5</v>
      </c>
      <c r="E14" s="4">
        <v>3350</v>
      </c>
      <c r="F14" s="3">
        <v>1</v>
      </c>
      <c r="G14" s="3" t="s">
        <v>8</v>
      </c>
    </row>
    <row r="15" spans="2:17" x14ac:dyDescent="0.25">
      <c r="B15" s="3">
        <v>36</v>
      </c>
      <c r="C15" s="3">
        <v>3</v>
      </c>
      <c r="D15" s="3" t="s">
        <v>5</v>
      </c>
      <c r="E15" s="4">
        <v>2500</v>
      </c>
      <c r="F15" s="3">
        <v>2</v>
      </c>
      <c r="G15" s="3" t="s">
        <v>8</v>
      </c>
    </row>
    <row r="16" spans="2:17" x14ac:dyDescent="0.25">
      <c r="B16" s="3">
        <v>27</v>
      </c>
      <c r="C16" s="3">
        <v>2</v>
      </c>
      <c r="D16" s="3" t="s">
        <v>7</v>
      </c>
      <c r="E16" s="4">
        <v>1621</v>
      </c>
      <c r="F16" s="3">
        <v>1</v>
      </c>
      <c r="G16" s="3" t="s">
        <v>8</v>
      </c>
    </row>
    <row r="17" spans="2:11" x14ac:dyDescent="0.25">
      <c r="B17" s="3">
        <v>43</v>
      </c>
      <c r="C17" s="3">
        <v>3</v>
      </c>
      <c r="D17" s="3" t="s">
        <v>6</v>
      </c>
      <c r="E17" s="4">
        <v>6000</v>
      </c>
      <c r="F17" s="3">
        <v>3</v>
      </c>
      <c r="G17" s="3" t="s">
        <v>8</v>
      </c>
    </row>
    <row r="18" spans="2:11" x14ac:dyDescent="0.25">
      <c r="B18" s="3">
        <v>37</v>
      </c>
      <c r="C18" s="3">
        <v>2</v>
      </c>
      <c r="D18" s="3" t="s">
        <v>5</v>
      </c>
      <c r="E18" s="4">
        <v>2800</v>
      </c>
      <c r="F18" s="3">
        <v>2</v>
      </c>
      <c r="G18" s="3" t="s">
        <v>8</v>
      </c>
    </row>
    <row r="19" spans="2:11" x14ac:dyDescent="0.25">
      <c r="B19" s="3">
        <v>50</v>
      </c>
      <c r="C19" s="3">
        <v>2</v>
      </c>
      <c r="D19" s="3" t="s">
        <v>5</v>
      </c>
      <c r="E19" s="4">
        <v>2900</v>
      </c>
      <c r="F19" s="3">
        <v>3</v>
      </c>
      <c r="G19" s="3" t="s">
        <v>8</v>
      </c>
    </row>
    <row r="20" spans="2:11" x14ac:dyDescent="0.25">
      <c r="B20" s="3">
        <v>27</v>
      </c>
      <c r="C20" s="3">
        <v>3</v>
      </c>
      <c r="D20" s="3" t="s">
        <v>7</v>
      </c>
      <c r="E20" s="4">
        <v>1621</v>
      </c>
      <c r="F20" s="3">
        <v>1</v>
      </c>
      <c r="G20" s="3" t="s">
        <v>9</v>
      </c>
    </row>
    <row r="21" spans="2:11" x14ac:dyDescent="0.25">
      <c r="B21" s="3">
        <v>25</v>
      </c>
      <c r="C21" s="3">
        <v>2</v>
      </c>
      <c r="D21" s="3" t="s">
        <v>7</v>
      </c>
      <c r="E21" s="4">
        <v>1621</v>
      </c>
      <c r="F21" s="3">
        <v>2</v>
      </c>
      <c r="G21" s="3" t="s">
        <v>9</v>
      </c>
    </row>
    <row r="22" spans="2:11" x14ac:dyDescent="0.25">
      <c r="B22" s="3">
        <v>24</v>
      </c>
      <c r="C22" s="3">
        <v>1</v>
      </c>
      <c r="D22" s="3" t="s">
        <v>5</v>
      </c>
      <c r="E22" s="4">
        <v>2300</v>
      </c>
      <c r="F22" s="3">
        <v>1</v>
      </c>
      <c r="G22" s="3" t="s">
        <v>8</v>
      </c>
      <c r="I22" s="2"/>
      <c r="J22" s="2"/>
      <c r="K22" s="2"/>
    </row>
    <row r="23" spans="2:11" x14ac:dyDescent="0.25">
      <c r="B23" s="3">
        <v>25</v>
      </c>
      <c r="C23" s="3">
        <v>1</v>
      </c>
      <c r="D23" s="3" t="s">
        <v>6</v>
      </c>
      <c r="E23" s="4">
        <v>4500</v>
      </c>
      <c r="F23" s="3">
        <v>1</v>
      </c>
      <c r="G23" s="3" t="s">
        <v>8</v>
      </c>
    </row>
    <row r="24" spans="2:11" x14ac:dyDescent="0.25">
      <c r="B24" s="3">
        <v>41</v>
      </c>
      <c r="C24" s="3">
        <v>1</v>
      </c>
      <c r="D24" s="3" t="s">
        <v>5</v>
      </c>
      <c r="E24" s="4">
        <v>2570</v>
      </c>
      <c r="F24" s="3">
        <v>1</v>
      </c>
      <c r="G24" s="3" t="s">
        <v>8</v>
      </c>
    </row>
    <row r="25" spans="2:11" x14ac:dyDescent="0.25">
      <c r="B25" s="3">
        <v>20</v>
      </c>
      <c r="C25" s="3">
        <v>2</v>
      </c>
      <c r="D25" s="3" t="s">
        <v>7</v>
      </c>
      <c r="E25" s="4">
        <v>1621</v>
      </c>
      <c r="F25" s="3">
        <v>0</v>
      </c>
      <c r="G25" s="3" t="s">
        <v>9</v>
      </c>
    </row>
    <row r="26" spans="2:11" x14ac:dyDescent="0.25">
      <c r="B26" s="3">
        <v>33</v>
      </c>
      <c r="C26" s="3">
        <v>1</v>
      </c>
      <c r="D26" s="3" t="s">
        <v>5</v>
      </c>
      <c r="E26" s="4">
        <v>2350</v>
      </c>
      <c r="F26" s="3">
        <v>2</v>
      </c>
      <c r="G26" s="3" t="s">
        <v>8</v>
      </c>
    </row>
    <row r="27" spans="2:11" x14ac:dyDescent="0.25">
      <c r="B27" s="3">
        <v>45</v>
      </c>
      <c r="C27" s="3">
        <v>4</v>
      </c>
      <c r="D27" s="3" t="s">
        <v>6</v>
      </c>
      <c r="E27" s="4">
        <v>6300</v>
      </c>
      <c r="F27" s="3">
        <v>3</v>
      </c>
      <c r="G27" s="3" t="s">
        <v>8</v>
      </c>
      <c r="H27" s="2"/>
    </row>
    <row r="28" spans="2:11" x14ac:dyDescent="0.25">
      <c r="B28" s="3">
        <v>23</v>
      </c>
      <c r="C28" s="3">
        <v>1</v>
      </c>
      <c r="D28" s="3" t="s">
        <v>7</v>
      </c>
      <c r="E28" s="4">
        <v>1621</v>
      </c>
      <c r="F28" s="3">
        <v>2</v>
      </c>
      <c r="G28" s="3" t="s">
        <v>9</v>
      </c>
      <c r="H28" s="2"/>
    </row>
    <row r="29" spans="2:11" x14ac:dyDescent="0.25">
      <c r="B29" s="3">
        <v>35</v>
      </c>
      <c r="C29" s="3">
        <v>2</v>
      </c>
      <c r="D29" s="3" t="s">
        <v>5</v>
      </c>
      <c r="E29" s="4">
        <v>2450</v>
      </c>
      <c r="F29" s="3">
        <v>1</v>
      </c>
      <c r="G29" s="3" t="s">
        <v>8</v>
      </c>
      <c r="H29" s="2"/>
    </row>
    <row r="30" spans="2:11" x14ac:dyDescent="0.25">
      <c r="B30" s="3">
        <v>55</v>
      </c>
      <c r="C30" s="3">
        <v>4</v>
      </c>
      <c r="D30" s="3" t="s">
        <v>6</v>
      </c>
      <c r="E30" s="4">
        <v>7250</v>
      </c>
      <c r="F30" s="3">
        <v>4</v>
      </c>
      <c r="G30" s="3" t="s">
        <v>8</v>
      </c>
    </row>
    <row r="31" spans="2:11" x14ac:dyDescent="0.25">
      <c r="B31" s="3">
        <v>23</v>
      </c>
      <c r="C31" s="3">
        <v>1</v>
      </c>
      <c r="D31" s="3" t="s">
        <v>5</v>
      </c>
      <c r="E31" s="4">
        <v>2800</v>
      </c>
      <c r="F31" s="3">
        <v>0</v>
      </c>
      <c r="G31" s="3" t="s">
        <v>8</v>
      </c>
    </row>
    <row r="32" spans="2:11" x14ac:dyDescent="0.25">
      <c r="B32" s="3">
        <v>27</v>
      </c>
      <c r="C32" s="3">
        <v>1</v>
      </c>
      <c r="D32" s="3" t="s">
        <v>5</v>
      </c>
      <c r="E32" s="4">
        <v>2900</v>
      </c>
      <c r="F32" s="3">
        <v>2</v>
      </c>
      <c r="G32" s="3" t="s">
        <v>9</v>
      </c>
    </row>
    <row r="33" spans="1:11" x14ac:dyDescent="0.25">
      <c r="B33" s="3">
        <v>30</v>
      </c>
      <c r="C33" s="3">
        <v>3</v>
      </c>
      <c r="D33" s="3" t="s">
        <v>5</v>
      </c>
      <c r="E33" s="4">
        <v>3100</v>
      </c>
      <c r="F33" s="3">
        <v>1</v>
      </c>
      <c r="G33" s="3" t="s">
        <v>8</v>
      </c>
    </row>
    <row r="34" spans="1:11" x14ac:dyDescent="0.25">
      <c r="A34" s="2"/>
    </row>
    <row r="35" spans="1:11" x14ac:dyDescent="0.25">
      <c r="A35" s="2"/>
    </row>
    <row r="36" spans="1:11" x14ac:dyDescent="0.25">
      <c r="A36" s="2"/>
      <c r="H36" s="21" t="s">
        <v>44</v>
      </c>
      <c r="I36" s="21">
        <v>18</v>
      </c>
    </row>
    <row r="37" spans="1:11" x14ac:dyDescent="0.25">
      <c r="A37" s="2"/>
      <c r="H37" s="21" t="s">
        <v>41</v>
      </c>
      <c r="I37" s="21">
        <v>24</v>
      </c>
    </row>
    <row r="38" spans="1:11" x14ac:dyDescent="0.25">
      <c r="A38" s="2"/>
      <c r="H38" s="21" t="s">
        <v>42</v>
      </c>
      <c r="I38" s="21">
        <v>30</v>
      </c>
    </row>
    <row r="39" spans="1:11" x14ac:dyDescent="0.25">
      <c r="A39" s="2"/>
      <c r="H39" s="21" t="s">
        <v>43</v>
      </c>
      <c r="I39" s="21">
        <v>37</v>
      </c>
    </row>
    <row r="40" spans="1:11" x14ac:dyDescent="0.25">
      <c r="A40" s="2"/>
      <c r="H40" s="21" t="s">
        <v>45</v>
      </c>
      <c r="I40" s="21">
        <v>55</v>
      </c>
    </row>
    <row r="42" spans="1:11" x14ac:dyDescent="0.25">
      <c r="H42" s="28"/>
      <c r="J42" s="3"/>
      <c r="K42" s="3"/>
    </row>
    <row r="43" spans="1:11" x14ac:dyDescent="0.25">
      <c r="J43" s="3"/>
      <c r="K43" s="3"/>
    </row>
    <row r="66" spans="8:10" x14ac:dyDescent="0.25">
      <c r="H66" s="21" t="s">
        <v>44</v>
      </c>
      <c r="I66" s="21">
        <v>1</v>
      </c>
    </row>
    <row r="67" spans="8:10" x14ac:dyDescent="0.25">
      <c r="H67" s="21" t="s">
        <v>41</v>
      </c>
      <c r="I67" s="21">
        <v>1</v>
      </c>
    </row>
    <row r="68" spans="8:10" x14ac:dyDescent="0.25">
      <c r="H68" s="21" t="s">
        <v>42</v>
      </c>
      <c r="I68" s="21">
        <v>2</v>
      </c>
    </row>
    <row r="69" spans="8:10" x14ac:dyDescent="0.25">
      <c r="H69" s="21" t="s">
        <v>43</v>
      </c>
      <c r="I69" s="21">
        <v>3</v>
      </c>
    </row>
    <row r="70" spans="8:10" x14ac:dyDescent="0.25">
      <c r="H70" s="21" t="s">
        <v>45</v>
      </c>
      <c r="I70" s="21">
        <v>4</v>
      </c>
    </row>
    <row r="73" spans="8:10" x14ac:dyDescent="0.25">
      <c r="H73" s="21" t="s">
        <v>46</v>
      </c>
      <c r="I73" s="21">
        <v>1621</v>
      </c>
    </row>
    <row r="74" spans="8:10" x14ac:dyDescent="0.25">
      <c r="H74" s="21" t="s">
        <v>41</v>
      </c>
      <c r="I74" s="21">
        <v>1621</v>
      </c>
    </row>
    <row r="75" spans="8:10" x14ac:dyDescent="0.25">
      <c r="H75" s="21" t="s">
        <v>42</v>
      </c>
      <c r="I75" s="21">
        <v>2800</v>
      </c>
    </row>
    <row r="76" spans="8:10" x14ac:dyDescent="0.25">
      <c r="H76" s="21" t="s">
        <v>43</v>
      </c>
      <c r="I76" s="21">
        <v>3578</v>
      </c>
    </row>
    <row r="77" spans="8:10" x14ac:dyDescent="0.25">
      <c r="H77" s="21" t="s">
        <v>45</v>
      </c>
      <c r="I77" s="21">
        <v>7250</v>
      </c>
    </row>
    <row r="79" spans="8:10" x14ac:dyDescent="0.25">
      <c r="H79" s="28" t="s">
        <v>48</v>
      </c>
      <c r="I79" s="20">
        <f>STANDARDIZE(I77,L6,P6)</f>
        <v>2.7393546239762192</v>
      </c>
      <c r="J79" t="s">
        <v>49</v>
      </c>
    </row>
    <row r="103" spans="8:9" x14ac:dyDescent="0.25">
      <c r="H103" s="21" t="s">
        <v>47</v>
      </c>
      <c r="I103" s="21">
        <v>0</v>
      </c>
    </row>
    <row r="104" spans="8:9" x14ac:dyDescent="0.25">
      <c r="H104" s="21" t="s">
        <v>41</v>
      </c>
      <c r="I104" s="21">
        <v>0</v>
      </c>
    </row>
    <row r="105" spans="8:9" x14ac:dyDescent="0.25">
      <c r="H105" s="21" t="s">
        <v>42</v>
      </c>
      <c r="I105" s="21">
        <v>1</v>
      </c>
    </row>
    <row r="106" spans="8:9" x14ac:dyDescent="0.25">
      <c r="H106" s="21" t="s">
        <v>43</v>
      </c>
      <c r="I106" s="21">
        <v>2</v>
      </c>
    </row>
    <row r="107" spans="8:9" x14ac:dyDescent="0.25">
      <c r="H107" s="21" t="s">
        <v>45</v>
      </c>
      <c r="I107" s="21">
        <v>4</v>
      </c>
    </row>
  </sheetData>
  <phoneticPr fontId="2" type="noConversion"/>
  <pageMargins left="0.78740157499999996" right="0.78740157499999996" top="0.984251969" bottom="0.984251969" header="0.49212598499999999" footer="0.49212598499999999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Escolaridade</vt:lpstr>
      <vt:lpstr>Automóvel</vt:lpstr>
      <vt:lpstr>Tempo de Serviço</vt:lpstr>
      <vt:lpstr>Dependentes</vt:lpstr>
      <vt:lpstr>Idade</vt:lpstr>
      <vt:lpstr>Salário</vt:lpstr>
      <vt:lpstr>Amostra</vt:lpstr>
    </vt:vector>
  </TitlesOfParts>
  <Company>Fatec São José do Rio Preto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Agronegócios</dc:creator>
  <cp:lastModifiedBy>Aluno</cp:lastModifiedBy>
  <dcterms:created xsi:type="dcterms:W3CDTF">2011-08-05T03:07:34Z</dcterms:created>
  <dcterms:modified xsi:type="dcterms:W3CDTF">2026-04-22T14:36:47Z</dcterms:modified>
</cp:coreProperties>
</file>