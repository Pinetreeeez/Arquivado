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2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lios\Downloads\"/>
    </mc:Choice>
  </mc:AlternateContent>
  <xr:revisionPtr revIDLastSave="0" documentId="13_ncr:1_{798CF9DF-B49D-4B73-8B55-2466FF7FE67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exo" sheetId="3" r:id="rId1"/>
    <sheet name="idade" sheetId="4" r:id="rId2"/>
    <sheet name="tempo de acesso" sheetId="5" r:id="rId3"/>
    <sheet name="Amostra" sheetId="2" r:id="rId4"/>
  </sheets>
  <definedNames>
    <definedName name="_xlchart.v1.0" hidden="1">Amostra!$C$2:$C$31</definedName>
    <definedName name="_xlchart.v1.1" hidden="1">Amostra!$C$2:$C$31</definedName>
    <definedName name="_xlchart.v1.2" hidden="1">Amostra!$B$2:$B$31</definedName>
  </definedNames>
  <calcPr calcId="191029"/>
  <pivotCaches>
    <pivotCache cacheId="0" r:id="rId5"/>
    <pivotCache cacheId="1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5" i="2" l="1"/>
  <c r="K61" i="2"/>
  <c r="G35" i="2"/>
  <c r="G34" i="2"/>
  <c r="G33" i="2"/>
  <c r="G32" i="2"/>
  <c r="G29" i="2" a="1"/>
  <c r="G29" i="2" s="1"/>
  <c r="G28" i="2"/>
  <c r="F34" i="2"/>
  <c r="F33" i="2"/>
  <c r="F32" i="2"/>
  <c r="F29" i="2" a="1"/>
  <c r="F29" i="2" s="1"/>
  <c r="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<sst xmlns="http://schemas.openxmlformats.org/spreadsheetml/2006/main" count="119" uniqueCount="42">
  <si>
    <t>Tempo de acesso semanal</t>
  </si>
  <si>
    <t>Idade</t>
  </si>
  <si>
    <t>F</t>
  </si>
  <si>
    <t>Sexo</t>
  </si>
  <si>
    <t>M</t>
  </si>
  <si>
    <t>Total Geral</t>
  </si>
  <si>
    <t>%</t>
  </si>
  <si>
    <t>fi</t>
  </si>
  <si>
    <t>fac</t>
  </si>
  <si>
    <t>12-14</t>
  </si>
  <si>
    <t>15-17</t>
  </si>
  <si>
    <t>18-20</t>
  </si>
  <si>
    <t>21-23</t>
  </si>
  <si>
    <t>24-26</t>
  </si>
  <si>
    <t>30-32</t>
  </si>
  <si>
    <t>33-35</t>
  </si>
  <si>
    <t>36-38</t>
  </si>
  <si>
    <t>39-41</t>
  </si>
  <si>
    <t>Tempo de Acesso</t>
  </si>
  <si>
    <t>20-22</t>
  </si>
  <si>
    <t>23-25</t>
  </si>
  <si>
    <t>26-28</t>
  </si>
  <si>
    <t>29-31</t>
  </si>
  <si>
    <t>32-34</t>
  </si>
  <si>
    <t>35-37</t>
  </si>
  <si>
    <t>38-40</t>
  </si>
  <si>
    <t>44-46</t>
  </si>
  <si>
    <t>47-49</t>
  </si>
  <si>
    <t>59-61</t>
  </si>
  <si>
    <t>Média</t>
  </si>
  <si>
    <t>Moda</t>
  </si>
  <si>
    <t>Mediana</t>
  </si>
  <si>
    <t>Variância</t>
  </si>
  <si>
    <t>Desvio Padrão</t>
  </si>
  <si>
    <t>Coef. De Variação</t>
  </si>
  <si>
    <t>Mínimo</t>
  </si>
  <si>
    <t>Q1</t>
  </si>
  <si>
    <t>Q2</t>
  </si>
  <si>
    <t>Q3</t>
  </si>
  <si>
    <t>Máximo</t>
  </si>
  <si>
    <t xml:space="preserve"> Escor 60</t>
  </si>
  <si>
    <t>Outlier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</si>
</sst>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0"/>
    <numFmt numFmtId="169" formatCode="0.000"/>
  </numFmts>
  <fonts count="6" x14ac:knownFonts="1">
    <font>
      <sz val="10"/>
      <name val="Arial"/>
    </font>
    <font>
      <b/>
      <sz val="10"/>
      <name val="Arial"/>
      <family val="2"/>
    </font>
    <font>
      <sz val="8"/>
      <name val="Arial"/>
    </font>
    <font>
      <sz val="28"/>
      <color rgb="FFFFFFFF"/>
      <name val="Arial"/>
      <family val="2"/>
    </font>
    <font>
      <sz val="10"/>
      <name val="Arial"/>
      <family val="2"/>
    </font>
    <font>
      <b/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2" fontId="0" fillId="0" borderId="0" xfId="0" applyNumberForma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applyNumberFormat="1" applyFont="1" applyFill="1" applyBorder="1" applyAlignment="1">
      <alignment horizontal="center" vertical="center"/>
    </xf>
    <xf numFmtId="0" fontId="0" fillId="0" borderId="0" xfId="0" applyBorder="1"/>
    <xf numFmtId="0" fontId="0" fillId="0" borderId="1" xfId="0" applyBorder="1"/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</cellXfs>
  <cellStyles count="1">
    <cellStyle name="Normal" xfId="0" builtinId="0"/>
  </cellStyles>
  <dxfs count="39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Sexo!!!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Sexo!$B$8</c:f>
              <c:strCache>
                <c:ptCount val="1"/>
                <c:pt idx="0">
                  <c:v>fi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Sexo!$A$9:$A$10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Sexo!$B$9:$B$10</c:f>
              <c:numCache>
                <c:formatCode>General</c:formatCode>
                <c:ptCount val="2"/>
                <c:pt idx="0">
                  <c:v>13</c:v>
                </c:pt>
                <c:pt idx="1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2-4AD4-9689-7219CB5C2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7678960"/>
        <c:axId val="2097678480"/>
      </c:barChart>
      <c:catAx>
        <c:axId val="209767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97678480"/>
        <c:crosses val="autoZero"/>
        <c:auto val="1"/>
        <c:lblAlgn val="ctr"/>
        <c:lblOffset val="100"/>
        <c:noMultiLvlLbl val="0"/>
      </c:catAx>
      <c:valAx>
        <c:axId val="209767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9767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Sexo!!!!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Sexo!$B$8</c:f>
              <c:strCache>
                <c:ptCount val="1"/>
                <c:pt idx="0">
                  <c:v>fi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Sexo!$A$9:$A$10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Sexo!$B$9:$B$10</c:f>
              <c:numCache>
                <c:formatCode>General</c:formatCode>
                <c:ptCount val="2"/>
                <c:pt idx="0">
                  <c:v>13</c:v>
                </c:pt>
                <c:pt idx="1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B5-4E9F-A096-CD1F291DA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03756880"/>
        <c:axId val="2103757840"/>
      </c:barChart>
      <c:catAx>
        <c:axId val="2103756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3757840"/>
        <c:crosses val="autoZero"/>
        <c:auto val="1"/>
        <c:lblAlgn val="ctr"/>
        <c:lblOffset val="100"/>
        <c:noMultiLvlLbl val="0"/>
      </c:catAx>
      <c:valAx>
        <c:axId val="210375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3756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idade!$B$16</c:f>
              <c:strCache>
                <c:ptCount val="1"/>
                <c:pt idx="0">
                  <c:v>fi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idade!$A$17:$A$25</c:f>
              <c:strCache>
                <c:ptCount val="9"/>
                <c:pt idx="0">
                  <c:v>12-14</c:v>
                </c:pt>
                <c:pt idx="1">
                  <c:v>15-17</c:v>
                </c:pt>
                <c:pt idx="2">
                  <c:v>18-20</c:v>
                </c:pt>
                <c:pt idx="3">
                  <c:v>21-23</c:v>
                </c:pt>
                <c:pt idx="4">
                  <c:v>24-26</c:v>
                </c:pt>
                <c:pt idx="5">
                  <c:v>30-32</c:v>
                </c:pt>
                <c:pt idx="6">
                  <c:v>33-35</c:v>
                </c:pt>
                <c:pt idx="7">
                  <c:v>36-38</c:v>
                </c:pt>
                <c:pt idx="8">
                  <c:v>39-41</c:v>
                </c:pt>
              </c:strCache>
            </c:strRef>
          </c:cat>
          <c:val>
            <c:numRef>
              <c:f>idade!$B$17:$B$25</c:f>
              <c:numCache>
                <c:formatCode>General</c:formatCode>
                <c:ptCount val="9"/>
                <c:pt idx="0">
                  <c:v>5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0A-46A6-9739-98392A837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3754960"/>
        <c:axId val="2099317936"/>
      </c:barChart>
      <c:catAx>
        <c:axId val="210375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99317936"/>
        <c:crosses val="autoZero"/>
        <c:auto val="1"/>
        <c:lblAlgn val="ctr"/>
        <c:lblOffset val="100"/>
        <c:noMultiLvlLbl val="0"/>
      </c:catAx>
      <c:valAx>
        <c:axId val="209931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375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Tempo De acesso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'tempo de acesso'!$B$16</c:f>
              <c:strCache>
                <c:ptCount val="1"/>
                <c:pt idx="0">
                  <c:v>fi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'tempo de acesso'!$A$17:$A$26</c:f>
              <c:strCache>
                <c:ptCount val="10"/>
                <c:pt idx="0">
                  <c:v>20-22</c:v>
                </c:pt>
                <c:pt idx="1">
                  <c:v>23-25</c:v>
                </c:pt>
                <c:pt idx="2">
                  <c:v>26-28</c:v>
                </c:pt>
                <c:pt idx="3">
                  <c:v>29-31</c:v>
                </c:pt>
                <c:pt idx="4">
                  <c:v>32-34</c:v>
                </c:pt>
                <c:pt idx="5">
                  <c:v>35-37</c:v>
                </c:pt>
                <c:pt idx="6">
                  <c:v>38-40</c:v>
                </c:pt>
                <c:pt idx="7">
                  <c:v>44-46</c:v>
                </c:pt>
                <c:pt idx="8">
                  <c:v>47-49</c:v>
                </c:pt>
                <c:pt idx="9">
                  <c:v>59-61</c:v>
                </c:pt>
              </c:strCache>
            </c:strRef>
          </c:cat>
          <c:val>
            <c:numRef>
              <c:f>'tempo de acesso'!$B$17:$B$26</c:f>
              <c:numCache>
                <c:formatCode>General</c:formatCode>
                <c:ptCount val="10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7</c:v>
                </c:pt>
                <c:pt idx="4">
                  <c:v>2</c:v>
                </c:pt>
                <c:pt idx="5">
                  <c:v>2</c:v>
                </c:pt>
                <c:pt idx="6">
                  <c:v>6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0D-4E18-8FA3-9D9313895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3454768"/>
        <c:axId val="2003455728"/>
      </c:barChart>
      <c:catAx>
        <c:axId val="200345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03455728"/>
        <c:crosses val="autoZero"/>
        <c:auto val="1"/>
        <c:lblAlgn val="ctr"/>
        <c:lblOffset val="100"/>
        <c:noMultiLvlLbl val="0"/>
      </c:catAx>
      <c:valAx>
        <c:axId val="20034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03454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Idade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Idade</a:t>
          </a:r>
        </a:p>
      </cx:txPr>
    </cx:title>
    <cx:plotArea>
      <cx:plotAreaRegion>
        <cx:series layoutId="boxWhisker" uniqueId="{134A2AB8-9C81-4E61-8DDB-1845B9C34728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Tempo de Acesso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Tempo de Acesso</a:t>
          </a:r>
        </a:p>
      </cx:txPr>
    </cx:title>
    <cx:plotArea>
      <cx:plotAreaRegion>
        <cx:series layoutId="boxWhisker" uniqueId="{EE592058-5C4E-42C7-93C7-DDE7B166DBC4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</xdr:colOff>
      <xdr:row>3</xdr:row>
      <xdr:rowOff>69850</xdr:rowOff>
    </xdr:from>
    <xdr:to>
      <xdr:col>14</xdr:col>
      <xdr:colOff>346075</xdr:colOff>
      <xdr:row>20</xdr:row>
      <xdr:rowOff>101600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E54FE5D-39C6-21CA-1219-3EECCFFE75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41275</xdr:colOff>
      <xdr:row>3</xdr:row>
      <xdr:rowOff>69850</xdr:rowOff>
    </xdr:from>
    <xdr:to>
      <xdr:col>14</xdr:col>
      <xdr:colOff>346075</xdr:colOff>
      <xdr:row>20</xdr:row>
      <xdr:rowOff>101600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DD15FCC-7FA0-B260-BFD0-BC1DA95E1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</xdr:colOff>
      <xdr:row>6</xdr:row>
      <xdr:rowOff>69850</xdr:rowOff>
    </xdr:from>
    <xdr:to>
      <xdr:col>14</xdr:col>
      <xdr:colOff>346075</xdr:colOff>
      <xdr:row>23</xdr:row>
      <xdr:rowOff>107950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6CDE6B-6F44-FB2A-DC30-39A175FE6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79375</xdr:colOff>
      <xdr:row>6</xdr:row>
      <xdr:rowOff>69850</xdr:rowOff>
    </xdr:from>
    <xdr:to>
      <xdr:col>13</xdr:col>
      <xdr:colOff>384175</xdr:colOff>
      <xdr:row>23</xdr:row>
      <xdr:rowOff>107950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05C495-5630-8E42-4F9B-A6CE38020E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95249</xdr:colOff>
      <xdr:row>0</xdr:row>
      <xdr:rowOff>133350</xdr:rowOff>
    </xdr:from>
    <xdr:to>
      <xdr:col>16</xdr:col>
      <xdr:colOff>545201</xdr:colOff>
      <xdr:row>25</xdr:row>
      <xdr:rowOff>109040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95BEBE3-0400-4C16-843A-D1A26A6F1323}"/>
            </a:ext>
          </a:extLst>
        </xdr:cNvPr>
        <xdr:cNvSpPr/>
      </xdr:nvSpPr>
      <xdr:spPr>
        <a:xfrm>
          <a:off x="2917471" y="133350"/>
          <a:ext cx="10013437" cy="4401448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lvl="0">
            <a:lnSpc>
              <a:spcPts val="1400"/>
            </a:lnSpc>
          </a:pPr>
          <a:r>
            <a:rPr lang="pt-BR" sz="1200" b="0" cap="none" spc="0" baseline="0">
              <a:ln w="0"/>
              <a:solidFill>
                <a:sysClr val="windowText" lastClr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Considere os dados sobre os usuários de internet com relação ao sexo, idade 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tempo de permanência na internet (horas por semana). </a:t>
          </a: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contínua).</a:t>
          </a:r>
        </a:p>
        <a:p>
          <a:pPr eaLnBrk="1" fontAlgn="auto" latinLnBrk="0" hangingPunct="1"/>
          <a:r>
            <a:rPr lang="pt-BR" sz="1200">
              <a:effectLst/>
            </a:rPr>
            <a:t>R: </a:t>
          </a:r>
          <a:r>
            <a:rPr lang="pt-BR" sz="1200" u="sng">
              <a:effectLst/>
            </a:rPr>
            <a:t>Sexo</a:t>
          </a:r>
          <a:r>
            <a:rPr lang="pt-BR" sz="1200" baseline="0">
              <a:effectLst/>
            </a:rPr>
            <a:t> : Qualitativa Nominal; </a:t>
          </a:r>
          <a:r>
            <a:rPr lang="pt-BR" sz="1200" u="sng" baseline="0">
              <a:effectLst/>
            </a:rPr>
            <a:t>Idade</a:t>
          </a:r>
          <a:r>
            <a:rPr lang="pt-BR" sz="1200" baseline="0">
              <a:effectLst/>
            </a:rPr>
            <a:t> : Quantitativa Discreta; </a:t>
          </a:r>
          <a:r>
            <a:rPr lang="pt-BR" sz="1200" u="sng" baseline="0">
              <a:effectLst/>
            </a:rPr>
            <a:t>Tempo de Acesso Semana </a:t>
          </a:r>
          <a:r>
            <a:rPr lang="pt-BR" sz="1200" baseline="0">
              <a:effectLst/>
            </a:rPr>
            <a:t>: Quantitativa Discreta.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effectLst/>
          </a:endParaRPr>
        </a:p>
        <a:p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 todas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endParaRPr lang="pt-BR" sz="1200">
            <a:effectLst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Contrua um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gráfico para cada variável do exercício 2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>
            <a:effectLst/>
          </a:endParaRPr>
        </a:p>
        <a:p>
          <a:pPr lvl="0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 variáveis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quantitativas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 e desvio padrão.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 Há muita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diferença entre média e mediana?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Na idade tem uma pequena diferença de 2,5 entre a média e a mediana. No tempo de acesso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há uma grande diferença de 3 pontos entre a média e mediana.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 A </a:t>
          </a: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variável Tempo de acesso semanal é mais dispersa (mais espalhada) do que a Idade? O que isso su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gere sobre a homogeneidade ou heterogeneidade desse grupo em termos de idade e de tempo de acesso? O que mais podemos calcular para ajudar a responder essas perguntas?</a:t>
          </a:r>
        </a:p>
        <a:p>
          <a:r>
            <a:rPr lang="pt-B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</a:t>
          </a:r>
        </a:p>
        <a:p>
          <a:endParaRPr lang="pt-BR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o gráfico de caixas (BoxPlot) para as variáveis quantitativas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 identifique os quartis no gráfico. Verifique se existem outliers.  Utilize o escore z para fazer a análise desses valores. </a:t>
          </a:r>
        </a:p>
        <a:p>
          <a:pPr eaLnBrk="1" fontAlgn="auto" latinLnBrk="0" hangingPunct="1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>
            <a:effectLst/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3</xdr:col>
      <xdr:colOff>590742</xdr:colOff>
      <xdr:row>36</xdr:row>
      <xdr:rowOff>4235</xdr:rowOff>
    </xdr:from>
    <xdr:to>
      <xdr:col>7</xdr:col>
      <xdr:colOff>1150697</xdr:colOff>
      <xdr:row>52</xdr:row>
      <xdr:rowOff>130465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E2E6285E-74EE-AFA4-CA3F-42DCC8BAEE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55515" y="6306129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4</xdr:col>
      <xdr:colOff>32714</xdr:colOff>
      <xdr:row>53</xdr:row>
      <xdr:rowOff>100446</xdr:rowOff>
    </xdr:from>
    <xdr:to>
      <xdr:col>8</xdr:col>
      <xdr:colOff>25017</xdr:colOff>
      <xdr:row>70</xdr:row>
      <xdr:rowOff>63115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42BE4C25-F5FA-0401-8025-408B9F01C85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03623" y="918287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0.454993402775" createdVersion="8" refreshedVersion="8" minRefreshableVersion="3" recordCount="30" xr:uid="{B235685E-DD04-4CBC-9784-2F4DB20E8FE9}">
  <cacheSource type="worksheet">
    <worksheetSource ref="A1:C31" sheet="Amostra"/>
  </cacheSource>
  <cacheFields count="3">
    <cacheField name="Sexo" numFmtId="0">
      <sharedItems count="2">
        <s v="M"/>
        <s v="F"/>
      </sharedItems>
    </cacheField>
    <cacheField name="Idade" numFmtId="0">
      <sharedItems containsSemiMixedTypes="0" containsString="0" containsNumber="1" containsInteger="1" minValue="12" maxValue="40"/>
    </cacheField>
    <cacheField name="Tempo de acesso semanal" numFmtId="0">
      <sharedItems containsSemiMixedTypes="0" containsString="0" containsNumber="1" containsInteger="1" minValue="20" maxValue="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0.459224074075" createdVersion="8" refreshedVersion="8" minRefreshableVersion="3" recordCount="30" xr:uid="{3AC17151-E307-4F5B-BFAD-BAD874A42D4C}">
  <cacheSource type="worksheet">
    <worksheetSource ref="A1:C31" sheet="Amostra"/>
  </cacheSource>
  <cacheFields count="3">
    <cacheField name="Sexo" numFmtId="0">
      <sharedItems count="2">
        <s v="M"/>
        <s v="F"/>
      </sharedItems>
    </cacheField>
    <cacheField name="Idade" numFmtId="0">
      <sharedItems containsSemiMixedTypes="0" containsString="0" containsNumber="1" containsInteger="1" minValue="12" maxValue="40" count="19">
        <n v="12"/>
        <n v="13"/>
        <n v="14"/>
        <n v="15"/>
        <n v="16"/>
        <n v="17"/>
        <n v="18"/>
        <n v="19"/>
        <n v="20"/>
        <n v="21"/>
        <n v="22"/>
        <n v="23"/>
        <n v="25"/>
        <n v="30"/>
        <n v="32"/>
        <n v="33"/>
        <n v="35"/>
        <n v="38"/>
        <n v="40"/>
      </sharedItems>
      <fieldGroup base="1">
        <rangePr startNum="12" endNum="40" groupInterval="3"/>
        <groupItems count="12">
          <s v="&lt;12"/>
          <s v="12-14"/>
          <s v="15-17"/>
          <s v="18-20"/>
          <s v="21-23"/>
          <s v="24-26"/>
          <s v="27-29"/>
          <s v="30-32"/>
          <s v="33-35"/>
          <s v="36-38"/>
          <s v="39-41"/>
          <s v="&gt;42"/>
        </groupItems>
      </fieldGroup>
    </cacheField>
    <cacheField name="Tempo de acesso semanal" numFmtId="0">
      <sharedItems containsSemiMixedTypes="0" containsString="0" containsNumber="1" containsInteger="1" minValue="20" maxValue="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0.460743750002" createdVersion="8" refreshedVersion="8" minRefreshableVersion="3" recordCount="30" xr:uid="{3106EB17-6AC8-483C-9103-1B3298203BAC}">
  <cacheSource type="worksheet">
    <worksheetSource ref="A1:C31" sheet="Amostra"/>
  </cacheSource>
  <cacheFields count="3">
    <cacheField name="Sexo" numFmtId="0">
      <sharedItems count="2">
        <s v="M"/>
        <s v="F"/>
      </sharedItems>
    </cacheField>
    <cacheField name="Idade" numFmtId="0">
      <sharedItems containsSemiMixedTypes="0" containsString="0" containsNumber="1" containsInteger="1" minValue="12" maxValue="40"/>
    </cacheField>
    <cacheField name="Tempo de acesso semanal" numFmtId="0">
      <sharedItems containsSemiMixedTypes="0" containsString="0" containsNumber="1" containsInteger="1" minValue="20" maxValue="60" count="17">
        <n v="20"/>
        <n v="21"/>
        <n v="22"/>
        <n v="24"/>
        <n v="25"/>
        <n v="26"/>
        <n v="27"/>
        <n v="30"/>
        <n v="32"/>
        <n v="35"/>
        <n v="34"/>
        <n v="38"/>
        <n v="40"/>
        <n v="44"/>
        <n v="36"/>
        <n v="48"/>
        <n v="60"/>
      </sharedItems>
      <fieldGroup base="2">
        <rangePr startNum="20" endNum="60" groupInterval="3"/>
        <groupItems count="16">
          <s v="&lt;20"/>
          <s v="20-22"/>
          <s v="23-25"/>
          <s v="26-28"/>
          <s v="29-31"/>
          <s v="32-34"/>
          <s v="35-37"/>
          <s v="38-40"/>
          <s v="41-43"/>
          <s v="44-46"/>
          <s v="47-49"/>
          <s v="50-52"/>
          <s v="53-55"/>
          <s v="56-58"/>
          <s v="59-61"/>
          <s v="&gt;6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n v="12"/>
    <n v="20"/>
  </r>
  <r>
    <x v="1"/>
    <n v="13"/>
    <n v="20"/>
  </r>
  <r>
    <x v="0"/>
    <n v="13"/>
    <n v="21"/>
  </r>
  <r>
    <x v="1"/>
    <n v="13"/>
    <n v="22"/>
  </r>
  <r>
    <x v="1"/>
    <n v="14"/>
    <n v="24"/>
  </r>
  <r>
    <x v="1"/>
    <n v="15"/>
    <n v="25"/>
  </r>
  <r>
    <x v="0"/>
    <n v="16"/>
    <n v="26"/>
  </r>
  <r>
    <x v="0"/>
    <n v="15"/>
    <n v="27"/>
  </r>
  <r>
    <x v="0"/>
    <n v="17"/>
    <n v="27"/>
  </r>
  <r>
    <x v="0"/>
    <n v="18"/>
    <n v="30"/>
  </r>
  <r>
    <x v="1"/>
    <n v="18"/>
    <n v="30"/>
  </r>
  <r>
    <x v="0"/>
    <n v="19"/>
    <n v="30"/>
  </r>
  <r>
    <x v="0"/>
    <n v="20"/>
    <n v="30"/>
  </r>
  <r>
    <x v="0"/>
    <n v="20"/>
    <n v="32"/>
  </r>
  <r>
    <x v="1"/>
    <n v="20"/>
    <n v="35"/>
  </r>
  <r>
    <x v="0"/>
    <n v="21"/>
    <n v="34"/>
  </r>
  <r>
    <x v="0"/>
    <n v="22"/>
    <n v="30"/>
  </r>
  <r>
    <x v="1"/>
    <n v="22"/>
    <n v="30"/>
  </r>
  <r>
    <x v="1"/>
    <n v="23"/>
    <n v="38"/>
  </r>
  <r>
    <x v="0"/>
    <n v="25"/>
    <n v="40"/>
  </r>
  <r>
    <x v="0"/>
    <n v="30"/>
    <n v="40"/>
  </r>
  <r>
    <x v="0"/>
    <n v="32"/>
    <n v="40"/>
  </r>
  <r>
    <x v="1"/>
    <n v="32"/>
    <n v="44"/>
  </r>
  <r>
    <x v="1"/>
    <n v="33"/>
    <n v="36"/>
  </r>
  <r>
    <x v="0"/>
    <n v="33"/>
    <n v="38"/>
  </r>
  <r>
    <x v="1"/>
    <n v="33"/>
    <n v="30"/>
  </r>
  <r>
    <x v="1"/>
    <n v="35"/>
    <n v="44"/>
  </r>
  <r>
    <x v="0"/>
    <n v="38"/>
    <n v="48"/>
  </r>
  <r>
    <x v="1"/>
    <n v="38"/>
    <n v="40"/>
  </r>
  <r>
    <x v="0"/>
    <n v="40"/>
    <n v="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n v="20"/>
  </r>
  <r>
    <x v="1"/>
    <x v="1"/>
    <n v="20"/>
  </r>
  <r>
    <x v="0"/>
    <x v="1"/>
    <n v="21"/>
  </r>
  <r>
    <x v="1"/>
    <x v="1"/>
    <n v="22"/>
  </r>
  <r>
    <x v="1"/>
    <x v="2"/>
    <n v="24"/>
  </r>
  <r>
    <x v="1"/>
    <x v="3"/>
    <n v="25"/>
  </r>
  <r>
    <x v="0"/>
    <x v="4"/>
    <n v="26"/>
  </r>
  <r>
    <x v="0"/>
    <x v="3"/>
    <n v="27"/>
  </r>
  <r>
    <x v="0"/>
    <x v="5"/>
    <n v="27"/>
  </r>
  <r>
    <x v="0"/>
    <x v="6"/>
    <n v="30"/>
  </r>
  <r>
    <x v="1"/>
    <x v="6"/>
    <n v="30"/>
  </r>
  <r>
    <x v="0"/>
    <x v="7"/>
    <n v="30"/>
  </r>
  <r>
    <x v="0"/>
    <x v="8"/>
    <n v="30"/>
  </r>
  <r>
    <x v="0"/>
    <x v="8"/>
    <n v="32"/>
  </r>
  <r>
    <x v="1"/>
    <x v="8"/>
    <n v="35"/>
  </r>
  <r>
    <x v="0"/>
    <x v="9"/>
    <n v="34"/>
  </r>
  <r>
    <x v="0"/>
    <x v="10"/>
    <n v="30"/>
  </r>
  <r>
    <x v="1"/>
    <x v="10"/>
    <n v="30"/>
  </r>
  <r>
    <x v="1"/>
    <x v="11"/>
    <n v="38"/>
  </r>
  <r>
    <x v="0"/>
    <x v="12"/>
    <n v="40"/>
  </r>
  <r>
    <x v="0"/>
    <x v="13"/>
    <n v="40"/>
  </r>
  <r>
    <x v="0"/>
    <x v="14"/>
    <n v="40"/>
  </r>
  <r>
    <x v="1"/>
    <x v="14"/>
    <n v="44"/>
  </r>
  <r>
    <x v="1"/>
    <x v="15"/>
    <n v="36"/>
  </r>
  <r>
    <x v="0"/>
    <x v="15"/>
    <n v="38"/>
  </r>
  <r>
    <x v="1"/>
    <x v="15"/>
    <n v="30"/>
  </r>
  <r>
    <x v="1"/>
    <x v="16"/>
    <n v="44"/>
  </r>
  <r>
    <x v="0"/>
    <x v="17"/>
    <n v="48"/>
  </r>
  <r>
    <x v="1"/>
    <x v="17"/>
    <n v="40"/>
  </r>
  <r>
    <x v="0"/>
    <x v="18"/>
    <n v="6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n v="12"/>
    <x v="0"/>
  </r>
  <r>
    <x v="1"/>
    <n v="13"/>
    <x v="0"/>
  </r>
  <r>
    <x v="0"/>
    <n v="13"/>
    <x v="1"/>
  </r>
  <r>
    <x v="1"/>
    <n v="13"/>
    <x v="2"/>
  </r>
  <r>
    <x v="1"/>
    <n v="14"/>
    <x v="3"/>
  </r>
  <r>
    <x v="1"/>
    <n v="15"/>
    <x v="4"/>
  </r>
  <r>
    <x v="0"/>
    <n v="16"/>
    <x v="5"/>
  </r>
  <r>
    <x v="0"/>
    <n v="15"/>
    <x v="6"/>
  </r>
  <r>
    <x v="0"/>
    <n v="17"/>
    <x v="6"/>
  </r>
  <r>
    <x v="0"/>
    <n v="18"/>
    <x v="7"/>
  </r>
  <r>
    <x v="1"/>
    <n v="18"/>
    <x v="7"/>
  </r>
  <r>
    <x v="0"/>
    <n v="19"/>
    <x v="7"/>
  </r>
  <r>
    <x v="0"/>
    <n v="20"/>
    <x v="7"/>
  </r>
  <r>
    <x v="0"/>
    <n v="20"/>
    <x v="8"/>
  </r>
  <r>
    <x v="1"/>
    <n v="20"/>
    <x v="9"/>
  </r>
  <r>
    <x v="0"/>
    <n v="21"/>
    <x v="10"/>
  </r>
  <r>
    <x v="0"/>
    <n v="22"/>
    <x v="7"/>
  </r>
  <r>
    <x v="1"/>
    <n v="22"/>
    <x v="7"/>
  </r>
  <r>
    <x v="1"/>
    <n v="23"/>
    <x v="11"/>
  </r>
  <r>
    <x v="0"/>
    <n v="25"/>
    <x v="12"/>
  </r>
  <r>
    <x v="0"/>
    <n v="30"/>
    <x v="12"/>
  </r>
  <r>
    <x v="0"/>
    <n v="32"/>
    <x v="12"/>
  </r>
  <r>
    <x v="1"/>
    <n v="32"/>
    <x v="13"/>
  </r>
  <r>
    <x v="1"/>
    <n v="33"/>
    <x v="14"/>
  </r>
  <r>
    <x v="0"/>
    <n v="33"/>
    <x v="11"/>
  </r>
  <r>
    <x v="1"/>
    <n v="33"/>
    <x v="7"/>
  </r>
  <r>
    <x v="1"/>
    <n v="35"/>
    <x v="13"/>
  </r>
  <r>
    <x v="0"/>
    <n v="38"/>
    <x v="15"/>
  </r>
  <r>
    <x v="1"/>
    <n v="38"/>
    <x v="12"/>
  </r>
  <r>
    <x v="0"/>
    <n v="40"/>
    <x v="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DB2F7D-7163-405E-9E66-F9DDA2FE6CDB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exo">
  <location ref="A3:D6" firstHeaderRow="0" firstDataRow="1" firstDataCol="1"/>
  <pivotFields count="3">
    <pivotField axis="axisRow" dataField="1" showAll="0">
      <items count="3">
        <item x="1"/>
        <item x="0"/>
        <item t="default"/>
      </items>
    </pivotField>
    <pivotField showAll="0"/>
    <pivotField showAl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i" fld="0" subtotal="count" baseField="0" baseItem="0"/>
    <dataField name="%" fld="0" subtotal="count" showDataAs="percentOfTotal" baseField="0" baseItem="0" numFmtId="10"/>
    <dataField name="fac" fld="0" subtotal="count" showDataAs="runTotal" baseField="0" baseItem="0"/>
  </dataFields>
  <formats count="14">
    <format dxfId="38">
      <pivotArea type="all" dataOnly="0" outline="0" fieldPosition="0"/>
    </format>
    <format dxfId="37">
      <pivotArea outline="0" fieldPosition="0">
        <references count="1">
          <reference field="4294967294" count="1">
            <x v="1"/>
          </reference>
        </references>
      </pivotArea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0" type="button" dataOnly="0" labelOnly="1" outline="0" axis="axisRow" fieldPosition="0"/>
    </format>
    <format dxfId="33">
      <pivotArea dataOnly="0" labelOnly="1" fieldPosition="0">
        <references count="1">
          <reference field="0" count="0"/>
        </references>
      </pivotArea>
    </format>
    <format dxfId="32">
      <pivotArea dataOnly="0" labelOnly="1" grandRow="1" outline="0" fieldPosition="0"/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0" type="button" dataOnly="0" labelOnly="1" outline="0" axis="axisRow" fieldPosition="0"/>
    </format>
    <format dxfId="27">
      <pivotArea dataOnly="0" labelOnly="1" fieldPosition="0">
        <references count="1">
          <reference field="0" count="0"/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FB4F66-6C34-4ECE-87A4-EDF2E5329E65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Idade">
  <location ref="A3:D13" firstHeaderRow="0" firstDataRow="1" firstDataCol="1"/>
  <pivotFields count="3">
    <pivotField showAll="0">
      <items count="3">
        <item x="1"/>
        <item x="0"/>
        <item t="default"/>
      </items>
    </pivotField>
    <pivotField axis="axisRow" dataFiel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</pivotFields>
  <rowFields count="1">
    <field x="1"/>
  </rowFields>
  <rowItems count="10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i" fld="1" subtotal="count" baseField="1" baseItem="0"/>
    <dataField name="%" fld="1" subtotal="count" showDataAs="percentOfTotal" baseField="1" baseItem="1" numFmtId="10"/>
    <dataField name="fac" fld="1" subtotal="count" showDataAs="runTotal" baseField="1" baseItem="1"/>
  </dataFields>
  <formats count="13">
    <format dxfId="24">
      <pivotArea type="all" dataOnly="0" outline="0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1" type="button" dataOnly="0" labelOnly="1" outline="0" axis="axisRow" fieldPosition="0"/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9">
            <x v="1"/>
            <x v="2"/>
            <x v="3"/>
            <x v="4"/>
            <x v="5"/>
            <x v="7"/>
            <x v="8"/>
            <x v="9"/>
            <x v="10"/>
          </reference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DA975-3257-4A11-9629-C00D632D610A}" name="Tabela dinâ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empo de Acesso">
  <location ref="A3:D14" firstHeaderRow="0" firstDataRow="1" firstDataCol="1"/>
  <pivotFields count="3">
    <pivotField showAll="0">
      <items count="3">
        <item x="1"/>
        <item x="0"/>
        <item t="default"/>
      </items>
    </pivotField>
    <pivotField showAll="0"/>
    <pivotField axis="axisRow" dataField="1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1">
    <field x="2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i" fld="2" subtotal="count" baseField="2" baseItem="0"/>
    <dataField name="%" fld="2" subtotal="count" showDataAs="percentOfTotal" baseField="2" baseItem="0" numFmtId="10"/>
    <dataField name="fac" fld="2" subtotal="count" showDataAs="runTotal" baseField="2" baseItem="1"/>
  </dataFields>
  <formats count="12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2" type="button" dataOnly="0" labelOnly="1" outline="0" axis="axisRow" fieldPosition="0"/>
    </format>
    <format dxfId="8">
      <pivotArea dataOnly="0" labelOnly="1" fieldPosition="0">
        <references count="1">
          <reference field="2" count="10">
            <x v="1"/>
            <x v="2"/>
            <x v="3"/>
            <x v="4"/>
            <x v="5"/>
            <x v="6"/>
            <x v="7"/>
            <x v="9"/>
            <x v="10"/>
            <x v="14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2" type="button" dataOnly="0" labelOnly="1" outline="0" axis="axisRow" fieldPosition="0"/>
    </format>
    <format dxfId="2">
      <pivotArea dataOnly="0" labelOnly="1" fieldPosition="0">
        <references count="1">
          <reference field="2" count="10">
            <x v="1"/>
            <x v="2"/>
            <x v="3"/>
            <x v="4"/>
            <x v="5"/>
            <x v="6"/>
            <x v="7"/>
            <x v="9"/>
            <x v="10"/>
            <x v="14"/>
          </reference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838B8-3648-4515-90BE-A5C129E971C2}">
  <dimension ref="A3:D11"/>
  <sheetViews>
    <sheetView workbookViewId="0">
      <selection activeCell="E20" sqref="E20"/>
    </sheetView>
  </sheetViews>
  <sheetFormatPr defaultRowHeight="12.75" x14ac:dyDescent="0.2"/>
  <cols>
    <col min="1" max="1" width="10.42578125" bestFit="1" customWidth="1"/>
    <col min="2" max="2" width="2.85546875" bestFit="1" customWidth="1"/>
    <col min="3" max="3" width="7.85546875" bestFit="1" customWidth="1"/>
    <col min="4" max="4" width="3.42578125" bestFit="1" customWidth="1"/>
  </cols>
  <sheetData>
    <row r="3" spans="1:4" x14ac:dyDescent="0.2">
      <c r="A3" s="8" t="s">
        <v>3</v>
      </c>
      <c r="B3" s="9" t="s">
        <v>7</v>
      </c>
      <c r="C3" s="9" t="s">
        <v>6</v>
      </c>
      <c r="D3" s="9" t="s">
        <v>8</v>
      </c>
    </row>
    <row r="4" spans="1:4" x14ac:dyDescent="0.2">
      <c r="A4" s="9" t="s">
        <v>2</v>
      </c>
      <c r="B4" s="10">
        <v>13</v>
      </c>
      <c r="C4" s="11">
        <v>0.43333333333333335</v>
      </c>
      <c r="D4" s="10">
        <v>13</v>
      </c>
    </row>
    <row r="5" spans="1:4" x14ac:dyDescent="0.2">
      <c r="A5" s="9" t="s">
        <v>4</v>
      </c>
      <c r="B5" s="10">
        <v>17</v>
      </c>
      <c r="C5" s="11">
        <v>0.56666666666666665</v>
      </c>
      <c r="D5" s="10">
        <v>30</v>
      </c>
    </row>
    <row r="6" spans="1:4" x14ac:dyDescent="0.2">
      <c r="A6" s="9" t="s">
        <v>5</v>
      </c>
      <c r="B6" s="10">
        <v>30</v>
      </c>
      <c r="C6" s="11">
        <v>1</v>
      </c>
      <c r="D6" s="10"/>
    </row>
    <row r="8" spans="1:4" x14ac:dyDescent="0.2">
      <c r="A8" s="12" t="s">
        <v>3</v>
      </c>
      <c r="B8" s="12" t="s">
        <v>7</v>
      </c>
    </row>
    <row r="9" spans="1:4" x14ac:dyDescent="0.2">
      <c r="A9" s="9" t="s">
        <v>2</v>
      </c>
      <c r="B9" s="10">
        <v>13</v>
      </c>
    </row>
    <row r="10" spans="1:4" x14ac:dyDescent="0.2">
      <c r="A10" s="9" t="s">
        <v>4</v>
      </c>
      <c r="B10" s="10">
        <v>17</v>
      </c>
    </row>
    <row r="11" spans="1:4" x14ac:dyDescent="0.2">
      <c r="A11" s="13" t="s">
        <v>5</v>
      </c>
      <c r="B11" s="14">
        <v>30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8D099-9DFA-41B4-8055-E627740A3DB2}">
  <dimension ref="A3:D26"/>
  <sheetViews>
    <sheetView topLeftCell="A4" workbookViewId="0">
      <selection activeCell="R10" sqref="R10"/>
    </sheetView>
  </sheetViews>
  <sheetFormatPr defaultRowHeight="12.75" x14ac:dyDescent="0.2"/>
  <cols>
    <col min="1" max="1" width="10.42578125" bestFit="1" customWidth="1"/>
    <col min="2" max="2" width="2.85546875" bestFit="1" customWidth="1"/>
    <col min="3" max="3" width="7.85546875" bestFit="1" customWidth="1"/>
    <col min="4" max="4" width="3.42578125" bestFit="1" customWidth="1"/>
  </cols>
  <sheetData>
    <row r="3" spans="1:4" x14ac:dyDescent="0.2">
      <c r="A3" s="8" t="s">
        <v>1</v>
      </c>
      <c r="B3" s="9" t="s">
        <v>7</v>
      </c>
      <c r="C3" s="9" t="s">
        <v>6</v>
      </c>
      <c r="D3" s="9" t="s">
        <v>8</v>
      </c>
    </row>
    <row r="4" spans="1:4" x14ac:dyDescent="0.2">
      <c r="A4" s="9" t="s">
        <v>9</v>
      </c>
      <c r="B4" s="10">
        <v>5</v>
      </c>
      <c r="C4" s="11">
        <v>0.16666666666666666</v>
      </c>
      <c r="D4" s="10">
        <v>5</v>
      </c>
    </row>
    <row r="5" spans="1:4" x14ac:dyDescent="0.2">
      <c r="A5" s="9" t="s">
        <v>10</v>
      </c>
      <c r="B5" s="10">
        <v>4</v>
      </c>
      <c r="C5" s="11">
        <v>0.13333333333333333</v>
      </c>
      <c r="D5" s="10">
        <v>9</v>
      </c>
    </row>
    <row r="6" spans="1:4" x14ac:dyDescent="0.2">
      <c r="A6" s="9" t="s">
        <v>11</v>
      </c>
      <c r="B6" s="10">
        <v>6</v>
      </c>
      <c r="C6" s="11">
        <v>0.2</v>
      </c>
      <c r="D6" s="10">
        <v>15</v>
      </c>
    </row>
    <row r="7" spans="1:4" x14ac:dyDescent="0.2">
      <c r="A7" s="9" t="s">
        <v>12</v>
      </c>
      <c r="B7" s="10">
        <v>4</v>
      </c>
      <c r="C7" s="11">
        <v>0.13333333333333333</v>
      </c>
      <c r="D7" s="10">
        <v>19</v>
      </c>
    </row>
    <row r="8" spans="1:4" x14ac:dyDescent="0.2">
      <c r="A8" s="9" t="s">
        <v>13</v>
      </c>
      <c r="B8" s="10">
        <v>1</v>
      </c>
      <c r="C8" s="11">
        <v>3.3333333333333333E-2</v>
      </c>
      <c r="D8" s="10">
        <v>20</v>
      </c>
    </row>
    <row r="9" spans="1:4" x14ac:dyDescent="0.2">
      <c r="A9" s="9" t="s">
        <v>14</v>
      </c>
      <c r="B9" s="10">
        <v>3</v>
      </c>
      <c r="C9" s="11">
        <v>0.1</v>
      </c>
      <c r="D9" s="10">
        <v>23</v>
      </c>
    </row>
    <row r="10" spans="1:4" x14ac:dyDescent="0.2">
      <c r="A10" s="9" t="s">
        <v>15</v>
      </c>
      <c r="B10" s="10">
        <v>4</v>
      </c>
      <c r="C10" s="11">
        <v>0.13333333333333333</v>
      </c>
      <c r="D10" s="10">
        <v>27</v>
      </c>
    </row>
    <row r="11" spans="1:4" x14ac:dyDescent="0.2">
      <c r="A11" s="9" t="s">
        <v>16</v>
      </c>
      <c r="B11" s="10">
        <v>2</v>
      </c>
      <c r="C11" s="11">
        <v>6.6666666666666666E-2</v>
      </c>
      <c r="D11" s="10">
        <v>29</v>
      </c>
    </row>
    <row r="12" spans="1:4" x14ac:dyDescent="0.2">
      <c r="A12" s="9" t="s">
        <v>17</v>
      </c>
      <c r="B12" s="10">
        <v>1</v>
      </c>
      <c r="C12" s="11">
        <v>3.3333333333333333E-2</v>
      </c>
      <c r="D12" s="10">
        <v>30</v>
      </c>
    </row>
    <row r="13" spans="1:4" x14ac:dyDescent="0.2">
      <c r="A13" s="9" t="s">
        <v>5</v>
      </c>
      <c r="B13" s="10">
        <v>30</v>
      </c>
      <c r="C13" s="11">
        <v>1</v>
      </c>
      <c r="D13" s="10"/>
    </row>
    <row r="16" spans="1:4" x14ac:dyDescent="0.2">
      <c r="A16" s="12" t="s">
        <v>1</v>
      </c>
      <c r="B16" s="12" t="s">
        <v>7</v>
      </c>
    </row>
    <row r="17" spans="1:2" x14ac:dyDescent="0.2">
      <c r="A17" s="9" t="s">
        <v>9</v>
      </c>
      <c r="B17" s="10">
        <v>5</v>
      </c>
    </row>
    <row r="18" spans="1:2" x14ac:dyDescent="0.2">
      <c r="A18" s="9" t="s">
        <v>10</v>
      </c>
      <c r="B18" s="10">
        <v>4</v>
      </c>
    </row>
    <row r="19" spans="1:2" x14ac:dyDescent="0.2">
      <c r="A19" s="9" t="s">
        <v>11</v>
      </c>
      <c r="B19" s="10">
        <v>6</v>
      </c>
    </row>
    <row r="20" spans="1:2" x14ac:dyDescent="0.2">
      <c r="A20" s="9" t="s">
        <v>12</v>
      </c>
      <c r="B20" s="10">
        <v>4</v>
      </c>
    </row>
    <row r="21" spans="1:2" x14ac:dyDescent="0.2">
      <c r="A21" s="9" t="s">
        <v>13</v>
      </c>
      <c r="B21" s="10">
        <v>1</v>
      </c>
    </row>
    <row r="22" spans="1:2" x14ac:dyDescent="0.2">
      <c r="A22" s="9" t="s">
        <v>14</v>
      </c>
      <c r="B22" s="10">
        <v>3</v>
      </c>
    </row>
    <row r="23" spans="1:2" x14ac:dyDescent="0.2">
      <c r="A23" s="9" t="s">
        <v>15</v>
      </c>
      <c r="B23" s="10">
        <v>4</v>
      </c>
    </row>
    <row r="24" spans="1:2" x14ac:dyDescent="0.2">
      <c r="A24" s="9" t="s">
        <v>16</v>
      </c>
      <c r="B24" s="10">
        <v>2</v>
      </c>
    </row>
    <row r="25" spans="1:2" x14ac:dyDescent="0.2">
      <c r="A25" s="9" t="s">
        <v>17</v>
      </c>
      <c r="B25" s="10">
        <v>1</v>
      </c>
    </row>
    <row r="26" spans="1:2" x14ac:dyDescent="0.2">
      <c r="A26" s="13" t="s">
        <v>5</v>
      </c>
      <c r="B26" s="14">
        <v>30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24076-AD36-435B-94E8-134FD66284AC}">
  <dimension ref="A3:D27"/>
  <sheetViews>
    <sheetView topLeftCell="A4" workbookViewId="0">
      <selection activeCell="B12" sqref="B12"/>
    </sheetView>
  </sheetViews>
  <sheetFormatPr defaultRowHeight="12.75" x14ac:dyDescent="0.2"/>
  <cols>
    <col min="1" max="1" width="18.5703125" bestFit="1" customWidth="1"/>
    <col min="2" max="2" width="2.85546875" bestFit="1" customWidth="1"/>
    <col min="3" max="3" width="7.85546875" bestFit="1" customWidth="1"/>
    <col min="4" max="4" width="3.42578125" bestFit="1" customWidth="1"/>
  </cols>
  <sheetData>
    <row r="3" spans="1:4" x14ac:dyDescent="0.2">
      <c r="A3" s="8" t="s">
        <v>18</v>
      </c>
      <c r="B3" s="9" t="s">
        <v>7</v>
      </c>
      <c r="C3" s="9" t="s">
        <v>6</v>
      </c>
      <c r="D3" s="9" t="s">
        <v>8</v>
      </c>
    </row>
    <row r="4" spans="1:4" x14ac:dyDescent="0.2">
      <c r="A4" s="9" t="s">
        <v>19</v>
      </c>
      <c r="B4" s="10">
        <v>4</v>
      </c>
      <c r="C4" s="11">
        <v>0.13333333333333333</v>
      </c>
      <c r="D4" s="10">
        <v>4</v>
      </c>
    </row>
    <row r="5" spans="1:4" x14ac:dyDescent="0.2">
      <c r="A5" s="9" t="s">
        <v>20</v>
      </c>
      <c r="B5" s="10">
        <v>2</v>
      </c>
      <c r="C5" s="11">
        <v>6.6666666666666666E-2</v>
      </c>
      <c r="D5" s="10">
        <v>6</v>
      </c>
    </row>
    <row r="6" spans="1:4" x14ac:dyDescent="0.2">
      <c r="A6" s="9" t="s">
        <v>21</v>
      </c>
      <c r="B6" s="10">
        <v>3</v>
      </c>
      <c r="C6" s="11">
        <v>0.1</v>
      </c>
      <c r="D6" s="10">
        <v>9</v>
      </c>
    </row>
    <row r="7" spans="1:4" x14ac:dyDescent="0.2">
      <c r="A7" s="9" t="s">
        <v>22</v>
      </c>
      <c r="B7" s="10">
        <v>7</v>
      </c>
      <c r="C7" s="11">
        <v>0.23333333333333334</v>
      </c>
      <c r="D7" s="10">
        <v>16</v>
      </c>
    </row>
    <row r="8" spans="1:4" x14ac:dyDescent="0.2">
      <c r="A8" s="9" t="s">
        <v>23</v>
      </c>
      <c r="B8" s="10">
        <v>2</v>
      </c>
      <c r="C8" s="11">
        <v>6.6666666666666666E-2</v>
      </c>
      <c r="D8" s="10">
        <v>18</v>
      </c>
    </row>
    <row r="9" spans="1:4" x14ac:dyDescent="0.2">
      <c r="A9" s="9" t="s">
        <v>24</v>
      </c>
      <c r="B9" s="10">
        <v>2</v>
      </c>
      <c r="C9" s="11">
        <v>6.6666666666666666E-2</v>
      </c>
      <c r="D9" s="10">
        <v>20</v>
      </c>
    </row>
    <row r="10" spans="1:4" x14ac:dyDescent="0.2">
      <c r="A10" s="9" t="s">
        <v>25</v>
      </c>
      <c r="B10" s="10">
        <v>6</v>
      </c>
      <c r="C10" s="11">
        <v>0.2</v>
      </c>
      <c r="D10" s="10">
        <v>26</v>
      </c>
    </row>
    <row r="11" spans="1:4" x14ac:dyDescent="0.2">
      <c r="A11" s="9" t="s">
        <v>26</v>
      </c>
      <c r="B11" s="10">
        <v>2</v>
      </c>
      <c r="C11" s="11">
        <v>6.6666666666666666E-2</v>
      </c>
      <c r="D11" s="10">
        <v>28</v>
      </c>
    </row>
    <row r="12" spans="1:4" x14ac:dyDescent="0.2">
      <c r="A12" s="9" t="s">
        <v>27</v>
      </c>
      <c r="B12" s="10">
        <v>1</v>
      </c>
      <c r="C12" s="11">
        <v>3.3333333333333333E-2</v>
      </c>
      <c r="D12" s="10">
        <v>29</v>
      </c>
    </row>
    <row r="13" spans="1:4" x14ac:dyDescent="0.2">
      <c r="A13" s="9" t="s">
        <v>28</v>
      </c>
      <c r="B13" s="10">
        <v>1</v>
      </c>
      <c r="C13" s="11">
        <v>3.3333333333333333E-2</v>
      </c>
      <c r="D13" s="10">
        <v>30</v>
      </c>
    </row>
    <row r="14" spans="1:4" x14ac:dyDescent="0.2">
      <c r="A14" s="9" t="s">
        <v>5</v>
      </c>
      <c r="B14" s="10">
        <v>30</v>
      </c>
      <c r="C14" s="11">
        <v>1</v>
      </c>
      <c r="D14" s="10"/>
    </row>
    <row r="16" spans="1:4" x14ac:dyDescent="0.2">
      <c r="A16" s="12" t="s">
        <v>18</v>
      </c>
      <c r="B16" s="12" t="s">
        <v>7</v>
      </c>
    </row>
    <row r="17" spans="1:2" x14ac:dyDescent="0.2">
      <c r="A17" s="9" t="s">
        <v>19</v>
      </c>
      <c r="B17" s="10">
        <v>4</v>
      </c>
    </row>
    <row r="18" spans="1:2" x14ac:dyDescent="0.2">
      <c r="A18" s="9" t="s">
        <v>20</v>
      </c>
      <c r="B18" s="10">
        <v>2</v>
      </c>
    </row>
    <row r="19" spans="1:2" x14ac:dyDescent="0.2">
      <c r="A19" s="9" t="s">
        <v>21</v>
      </c>
      <c r="B19" s="10">
        <v>3</v>
      </c>
    </row>
    <row r="20" spans="1:2" x14ac:dyDescent="0.2">
      <c r="A20" s="9" t="s">
        <v>22</v>
      </c>
      <c r="B20" s="10">
        <v>7</v>
      </c>
    </row>
    <row r="21" spans="1:2" x14ac:dyDescent="0.2">
      <c r="A21" s="9" t="s">
        <v>23</v>
      </c>
      <c r="B21" s="10">
        <v>2</v>
      </c>
    </row>
    <row r="22" spans="1:2" x14ac:dyDescent="0.2">
      <c r="A22" s="9" t="s">
        <v>24</v>
      </c>
      <c r="B22" s="10">
        <v>2</v>
      </c>
    </row>
    <row r="23" spans="1:2" x14ac:dyDescent="0.2">
      <c r="A23" s="9" t="s">
        <v>25</v>
      </c>
      <c r="B23" s="10">
        <v>6</v>
      </c>
    </row>
    <row r="24" spans="1:2" x14ac:dyDescent="0.2">
      <c r="A24" s="9" t="s">
        <v>26</v>
      </c>
      <c r="B24" s="10">
        <v>2</v>
      </c>
    </row>
    <row r="25" spans="1:2" x14ac:dyDescent="0.2">
      <c r="A25" s="9" t="s">
        <v>27</v>
      </c>
      <c r="B25" s="10">
        <v>1</v>
      </c>
    </row>
    <row r="26" spans="1:2" x14ac:dyDescent="0.2">
      <c r="A26" s="9" t="s">
        <v>28</v>
      </c>
      <c r="B26" s="10">
        <v>1</v>
      </c>
    </row>
    <row r="27" spans="1:2" x14ac:dyDescent="0.2">
      <c r="A27" s="13" t="s">
        <v>5</v>
      </c>
      <c r="B27" s="14">
        <v>30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abSelected="1" zoomScale="99" zoomScaleNormal="99" workbookViewId="0">
      <selection activeCell="F35" sqref="F35"/>
    </sheetView>
  </sheetViews>
  <sheetFormatPr defaultRowHeight="12.75" x14ac:dyDescent="0.2"/>
  <cols>
    <col min="3" max="3" width="14.28515625" customWidth="1"/>
    <col min="5" max="5" width="15.85546875" customWidth="1"/>
    <col min="6" max="8" width="17.5703125" customWidth="1"/>
    <col min="10" max="10" width="15.140625" customWidth="1"/>
    <col min="11" max="11" width="16.140625" customWidth="1"/>
  </cols>
  <sheetData>
    <row r="1" spans="1:7" ht="45.75" customHeight="1" x14ac:dyDescent="0.45">
      <c r="A1" s="3" t="s">
        <v>3</v>
      </c>
      <c r="B1" s="4" t="s">
        <v>1</v>
      </c>
      <c r="C1" s="4" t="s">
        <v>0</v>
      </c>
      <c r="G1" s="1"/>
    </row>
    <row r="2" spans="1:7" x14ac:dyDescent="0.2">
      <c r="A2" s="2" t="s">
        <v>4</v>
      </c>
      <c r="B2" s="2">
        <v>12</v>
      </c>
      <c r="C2" s="2">
        <v>20</v>
      </c>
    </row>
    <row r="3" spans="1:7" x14ac:dyDescent="0.2">
      <c r="A3" s="2" t="s">
        <v>2</v>
      </c>
      <c r="B3" s="2">
        <v>13</v>
      </c>
      <c r="C3" s="2">
        <v>20</v>
      </c>
    </row>
    <row r="4" spans="1:7" x14ac:dyDescent="0.2">
      <c r="A4" s="2" t="s">
        <v>4</v>
      </c>
      <c r="B4" s="2">
        <v>13</v>
      </c>
      <c r="C4" s="2">
        <v>21</v>
      </c>
    </row>
    <row r="5" spans="1:7" x14ac:dyDescent="0.2">
      <c r="A5" s="2" t="s">
        <v>2</v>
      </c>
      <c r="B5" s="2">
        <v>13</v>
      </c>
      <c r="C5" s="2">
        <v>22</v>
      </c>
    </row>
    <row r="6" spans="1:7" x14ac:dyDescent="0.2">
      <c r="A6" s="2" t="s">
        <v>2</v>
      </c>
      <c r="B6" s="2">
        <v>14</v>
      </c>
      <c r="C6" s="2">
        <v>24</v>
      </c>
    </row>
    <row r="7" spans="1:7" x14ac:dyDescent="0.2">
      <c r="A7" s="2" t="s">
        <v>2</v>
      </c>
      <c r="B7" s="2">
        <v>15</v>
      </c>
      <c r="C7" s="2">
        <v>25</v>
      </c>
    </row>
    <row r="8" spans="1:7" x14ac:dyDescent="0.2">
      <c r="A8" s="2" t="s">
        <v>4</v>
      </c>
      <c r="B8" s="2">
        <v>16</v>
      </c>
      <c r="C8" s="2">
        <v>26</v>
      </c>
    </row>
    <row r="9" spans="1:7" x14ac:dyDescent="0.2">
      <c r="A9" s="2" t="s">
        <v>4</v>
      </c>
      <c r="B9" s="2">
        <v>15</v>
      </c>
      <c r="C9" s="2">
        <v>27</v>
      </c>
    </row>
    <row r="10" spans="1:7" x14ac:dyDescent="0.2">
      <c r="A10" s="2" t="s">
        <v>4</v>
      </c>
      <c r="B10" s="2">
        <v>17</v>
      </c>
      <c r="C10" s="2">
        <v>27</v>
      </c>
    </row>
    <row r="11" spans="1:7" x14ac:dyDescent="0.2">
      <c r="A11" s="2" t="s">
        <v>4</v>
      </c>
      <c r="B11" s="2">
        <v>18</v>
      </c>
      <c r="C11" s="2">
        <v>30</v>
      </c>
    </row>
    <row r="12" spans="1:7" x14ac:dyDescent="0.2">
      <c r="A12" s="2" t="s">
        <v>2</v>
      </c>
      <c r="B12" s="2">
        <v>18</v>
      </c>
      <c r="C12" s="2">
        <v>30</v>
      </c>
    </row>
    <row r="13" spans="1:7" x14ac:dyDescent="0.2">
      <c r="A13" s="2" t="s">
        <v>4</v>
      </c>
      <c r="B13" s="2">
        <v>19</v>
      </c>
      <c r="C13" s="2">
        <v>30</v>
      </c>
    </row>
    <row r="14" spans="1:7" x14ac:dyDescent="0.2">
      <c r="A14" s="2" t="s">
        <v>4</v>
      </c>
      <c r="B14" s="2">
        <v>20</v>
      </c>
      <c r="C14" s="2">
        <v>30</v>
      </c>
    </row>
    <row r="15" spans="1:7" x14ac:dyDescent="0.2">
      <c r="A15" s="2" t="s">
        <v>4</v>
      </c>
      <c r="B15" s="2">
        <v>20</v>
      </c>
      <c r="C15" s="2">
        <v>32</v>
      </c>
      <c r="E15" s="6"/>
      <c r="F15" s="5"/>
    </row>
    <row r="16" spans="1:7" x14ac:dyDescent="0.2">
      <c r="A16" s="2" t="s">
        <v>2</v>
      </c>
      <c r="B16" s="2">
        <v>20</v>
      </c>
      <c r="C16" s="2">
        <v>35</v>
      </c>
      <c r="E16" s="6"/>
      <c r="F16" s="5"/>
    </row>
    <row r="17" spans="1:8" x14ac:dyDescent="0.2">
      <c r="A17" s="2" t="s">
        <v>4</v>
      </c>
      <c r="B17" s="2">
        <v>21</v>
      </c>
      <c r="C17" s="2">
        <v>34</v>
      </c>
      <c r="E17" s="6"/>
      <c r="F17" s="5"/>
    </row>
    <row r="18" spans="1:8" x14ac:dyDescent="0.2">
      <c r="A18" s="2" t="s">
        <v>4</v>
      </c>
      <c r="B18" s="2">
        <v>22</v>
      </c>
      <c r="C18" s="2">
        <v>30</v>
      </c>
      <c r="F18" s="5"/>
    </row>
    <row r="19" spans="1:8" x14ac:dyDescent="0.2">
      <c r="A19" s="2" t="s">
        <v>2</v>
      </c>
      <c r="B19" s="2">
        <v>22</v>
      </c>
      <c r="C19" s="2">
        <v>30</v>
      </c>
      <c r="F19" s="5"/>
    </row>
    <row r="20" spans="1:8" x14ac:dyDescent="0.2">
      <c r="A20" s="2" t="s">
        <v>2</v>
      </c>
      <c r="B20" s="2">
        <v>23</v>
      </c>
      <c r="C20" s="2">
        <v>38</v>
      </c>
      <c r="E20" s="6"/>
      <c r="F20" s="5"/>
    </row>
    <row r="21" spans="1:8" x14ac:dyDescent="0.2">
      <c r="A21" s="2" t="s">
        <v>4</v>
      </c>
      <c r="B21" s="2">
        <v>25</v>
      </c>
      <c r="C21" s="2">
        <v>40</v>
      </c>
      <c r="E21" s="6"/>
      <c r="F21" s="5"/>
    </row>
    <row r="22" spans="1:8" x14ac:dyDescent="0.2">
      <c r="A22" s="2" t="s">
        <v>4</v>
      </c>
      <c r="B22" s="2">
        <v>30</v>
      </c>
      <c r="C22" s="2">
        <v>40</v>
      </c>
      <c r="F22" s="5"/>
    </row>
    <row r="23" spans="1:8" x14ac:dyDescent="0.2">
      <c r="A23" s="2" t="s">
        <v>4</v>
      </c>
      <c r="B23" s="2">
        <v>32</v>
      </c>
      <c r="C23" s="2">
        <v>40</v>
      </c>
      <c r="F23" s="5"/>
    </row>
    <row r="24" spans="1:8" x14ac:dyDescent="0.2">
      <c r="A24" s="2" t="s">
        <v>2</v>
      </c>
      <c r="B24" s="2">
        <v>32</v>
      </c>
      <c r="C24" s="2">
        <v>44</v>
      </c>
      <c r="F24" s="5"/>
    </row>
    <row r="25" spans="1:8" x14ac:dyDescent="0.2">
      <c r="A25" s="2" t="s">
        <v>2</v>
      </c>
      <c r="B25" s="2">
        <v>33</v>
      </c>
      <c r="C25" s="2">
        <v>36</v>
      </c>
      <c r="F25" s="5"/>
    </row>
    <row r="26" spans="1:8" x14ac:dyDescent="0.2">
      <c r="A26" s="2" t="s">
        <v>4</v>
      </c>
      <c r="B26" s="2">
        <v>33</v>
      </c>
      <c r="C26" s="2">
        <v>38</v>
      </c>
      <c r="E26" s="15"/>
      <c r="F26" s="5"/>
    </row>
    <row r="27" spans="1:8" x14ac:dyDescent="0.2">
      <c r="A27" s="2" t="s">
        <v>2</v>
      </c>
      <c r="B27" s="2">
        <v>33</v>
      </c>
      <c r="C27" s="2">
        <v>30</v>
      </c>
      <c r="D27" s="21"/>
      <c r="E27" s="22"/>
      <c r="F27" s="2" t="s">
        <v>1</v>
      </c>
      <c r="G27" s="2" t="s">
        <v>18</v>
      </c>
    </row>
    <row r="28" spans="1:8" x14ac:dyDescent="0.2">
      <c r="A28" s="2" t="s">
        <v>2</v>
      </c>
      <c r="B28" s="2">
        <v>35</v>
      </c>
      <c r="C28" s="2">
        <v>44</v>
      </c>
      <c r="E28" s="2" t="s">
        <v>29</v>
      </c>
      <c r="F28" s="17">
        <f>AVERAGE(B2:B31)</f>
        <v>23.333333333333332</v>
      </c>
      <c r="G28" s="17">
        <f>AVERAGE(C2:C31)</f>
        <v>33.033333333333331</v>
      </c>
    </row>
    <row r="29" spans="1:8" x14ac:dyDescent="0.2">
      <c r="A29" s="2" t="s">
        <v>4</v>
      </c>
      <c r="B29" s="2">
        <v>38</v>
      </c>
      <c r="C29" s="2">
        <v>48</v>
      </c>
      <c r="E29" s="2" t="s">
        <v>30</v>
      </c>
      <c r="F29" s="17" cm="1">
        <f t="array" ref="F29:F31">_xlfn.MODE.MULT(B2:B31)</f>
        <v>13</v>
      </c>
      <c r="G29" s="18" cm="1">
        <f t="array" ref="G29">_xlfn.MODE.MULT(C2:C31)</f>
        <v>30</v>
      </c>
    </row>
    <row r="30" spans="1:8" x14ac:dyDescent="0.2">
      <c r="A30" s="2" t="s">
        <v>2</v>
      </c>
      <c r="B30" s="2">
        <v>38</v>
      </c>
      <c r="C30" s="2">
        <v>40</v>
      </c>
      <c r="D30" s="21"/>
      <c r="E30" s="23"/>
      <c r="F30" s="17">
        <v>20</v>
      </c>
      <c r="G30" s="24"/>
      <c r="H30" s="15"/>
    </row>
    <row r="31" spans="1:8" x14ac:dyDescent="0.2">
      <c r="A31" s="2" t="s">
        <v>4</v>
      </c>
      <c r="B31" s="2">
        <v>40</v>
      </c>
      <c r="C31" s="2">
        <v>60</v>
      </c>
      <c r="D31" s="21"/>
      <c r="E31" s="22"/>
      <c r="F31" s="17">
        <v>33</v>
      </c>
      <c r="G31" s="25"/>
    </row>
    <row r="32" spans="1:8" x14ac:dyDescent="0.2">
      <c r="E32" s="19" t="s">
        <v>31</v>
      </c>
      <c r="F32" s="17">
        <f>MEDIAN(B2:B31)</f>
        <v>20.5</v>
      </c>
      <c r="G32" s="18">
        <f>MEDIAN(C2:C31)</f>
        <v>30</v>
      </c>
    </row>
    <row r="33" spans="5:11" x14ac:dyDescent="0.2">
      <c r="E33" s="19" t="s">
        <v>32</v>
      </c>
      <c r="F33" s="17">
        <f>_xlfn.VAR.S(B2:B31)</f>
        <v>76.16091954022987</v>
      </c>
      <c r="G33" s="17">
        <f>_xlfn.VAR.S(C2:C31)</f>
        <v>82.37816091954025</v>
      </c>
    </row>
    <row r="34" spans="5:11" x14ac:dyDescent="0.2">
      <c r="E34" s="19" t="s">
        <v>33</v>
      </c>
      <c r="F34" s="17">
        <f>_xlfn.STDEV.S(B2:B31)</f>
        <v>8.7270223753712166</v>
      </c>
      <c r="G34" s="17">
        <f>_xlfn.STDEV.S(C2:C31)</f>
        <v>9.0762415635294911</v>
      </c>
    </row>
    <row r="35" spans="5:11" x14ac:dyDescent="0.2">
      <c r="E35" s="19" t="s">
        <v>34</v>
      </c>
      <c r="F35" s="20">
        <f>F34/(F28 * 100)</f>
        <v>3.7401524465876649E-3</v>
      </c>
      <c r="G35" s="20">
        <f>G34/(G28*100)</f>
        <v>2.7476008769514101E-3</v>
      </c>
    </row>
    <row r="36" spans="5:11" x14ac:dyDescent="0.2">
      <c r="E36" s="6"/>
      <c r="F36" s="5"/>
    </row>
    <row r="38" spans="5:11" x14ac:dyDescent="0.2">
      <c r="J38" s="2" t="s">
        <v>35</v>
      </c>
      <c r="K38" s="2">
        <v>12</v>
      </c>
    </row>
    <row r="39" spans="5:11" x14ac:dyDescent="0.2">
      <c r="J39" s="2" t="s">
        <v>36</v>
      </c>
      <c r="K39" s="2">
        <v>15.75</v>
      </c>
    </row>
    <row r="40" spans="5:11" x14ac:dyDescent="0.2">
      <c r="J40" s="2" t="s">
        <v>37</v>
      </c>
      <c r="K40" s="2">
        <v>20.5</v>
      </c>
    </row>
    <row r="41" spans="5:11" x14ac:dyDescent="0.2">
      <c r="J41" s="2" t="s">
        <v>38</v>
      </c>
      <c r="K41" s="2">
        <v>32.5</v>
      </c>
    </row>
    <row r="42" spans="5:11" x14ac:dyDescent="0.2">
      <c r="J42" s="2" t="s">
        <v>39</v>
      </c>
      <c r="K42" s="2">
        <v>40</v>
      </c>
    </row>
    <row r="55" spans="10:12" x14ac:dyDescent="0.2">
      <c r="J55" s="2" t="s">
        <v>35</v>
      </c>
      <c r="K55" s="2">
        <v>20</v>
      </c>
    </row>
    <row r="56" spans="10:12" x14ac:dyDescent="0.2">
      <c r="J56" s="2" t="s">
        <v>36</v>
      </c>
      <c r="K56" s="2">
        <v>26.75</v>
      </c>
    </row>
    <row r="57" spans="10:12" x14ac:dyDescent="0.2">
      <c r="J57" s="2" t="s">
        <v>37</v>
      </c>
      <c r="K57" s="2">
        <v>30</v>
      </c>
    </row>
    <row r="58" spans="10:12" x14ac:dyDescent="0.2">
      <c r="J58" s="2" t="s">
        <v>38</v>
      </c>
      <c r="K58" s="2">
        <v>40</v>
      </c>
    </row>
    <row r="59" spans="10:12" x14ac:dyDescent="0.2">
      <c r="J59" s="2" t="s">
        <v>39</v>
      </c>
      <c r="K59" s="2">
        <v>48</v>
      </c>
    </row>
    <row r="60" spans="10:12" x14ac:dyDescent="0.2">
      <c r="J60" s="7"/>
      <c r="K60" s="7"/>
    </row>
    <row r="61" spans="10:12" x14ac:dyDescent="0.2">
      <c r="J61" s="2" t="s">
        <v>40</v>
      </c>
      <c r="K61" s="26">
        <f>STANDARDIZE(K59,G28,G34)</f>
        <v>1.6489938662283201</v>
      </c>
      <c r="L61" s="16" t="s">
        <v>41</v>
      </c>
    </row>
  </sheetData>
  <phoneticPr fontId="2" type="noConversion"/>
  <pageMargins left="0.78740157499999996" right="0.78740157499999996" top="0.984251969" bottom="0.984251969" header="0.49212598499999999" footer="0.49212598499999999"/>
  <pageSetup paperSize="9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Sexo</vt:lpstr>
      <vt:lpstr>idade</vt:lpstr>
      <vt:lpstr>tempo de acesso</vt:lpstr>
      <vt:lpstr>Amostra</vt:lpstr>
    </vt:vector>
  </TitlesOfParts>
  <Company>Fatec São José do Rio Preto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Agronegócios</dc:creator>
  <cp:lastModifiedBy>Elio Savoine</cp:lastModifiedBy>
  <cp:lastPrinted>2019-09-30T13:53:58Z</cp:lastPrinted>
  <dcterms:created xsi:type="dcterms:W3CDTF">2011-11-04T22:01:52Z</dcterms:created>
  <dcterms:modified xsi:type="dcterms:W3CDTF">2026-04-28T21:33:05Z</dcterms:modified>
</cp:coreProperties>
</file>