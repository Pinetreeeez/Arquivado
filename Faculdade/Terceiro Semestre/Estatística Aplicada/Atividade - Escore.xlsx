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luno\Downloads\"/>
    </mc:Choice>
  </mc:AlternateContent>
  <xr:revisionPtr revIDLastSave="0" documentId="13_ncr:1_{DC373E0B-19B5-4548-AD8D-CE951F1BF656}" xr6:coauthVersionLast="47" xr6:coauthVersionMax="47" xr10:uidLastSave="{00000000-0000-0000-0000-000000000000}"/>
  <bookViews>
    <workbookView xWindow="-110" yWindow="-110" windowWidth="19420" windowHeight="10420" activeTab="4" xr2:uid="{00000000-000D-0000-FFFF-FFFF00000000}"/>
  </bookViews>
  <sheets>
    <sheet name="Sexo" sheetId="3" r:id="rId1"/>
    <sheet name="idade" sheetId="4" r:id="rId2"/>
    <sheet name="tempo de acesso" sheetId="5" r:id="rId3"/>
    <sheet name="Parte 2" sheetId="6" r:id="rId4"/>
    <sheet name="Amostra" sheetId="2" r:id="rId5"/>
  </sheets>
  <definedNames>
    <definedName name="_xlchart.v1.0" hidden="1">Amostra!$B$2:$B$31</definedName>
    <definedName name="_xlchart.v1.1" hidden="1">Amostra!$C$2:$C$31</definedName>
  </definedNames>
  <calcPr calcId="191029"/>
  <pivotCaches>
    <pivotCache cacheId="0" r:id="rId6"/>
    <pivotCache cacheId="1" r:id="rId7"/>
    <pivotCache cacheId="2" r:id="rId8"/>
    <pivotCache cacheId="11" r:id="rId9"/>
    <pivotCache cacheId="21" r:id="rId10"/>
    <pivotCache cacheId="31"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5" i="2" l="1"/>
  <c r="F35" i="2"/>
  <c r="K61" i="2"/>
  <c r="G34" i="2"/>
  <c r="G33" i="2"/>
  <c r="G32" i="2"/>
  <c r="G29" i="2" a="1"/>
  <c r="G29" i="2" s="1"/>
  <c r="G28" i="2"/>
  <c r="F34" i="2"/>
  <c r="F33" i="2"/>
  <c r="F32" i="2"/>
  <c r="F29" i="2" a="1"/>
  <c r="F29" i="2" s="1"/>
  <c r="F2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<sst xmlns="http://schemas.openxmlformats.org/spreadsheetml/2006/main" count="179" uniqueCount="71">
  <si>
    <t>Tempo de acesso semanal</t>
  </si>
  <si>
    <t>Idade</t>
  </si>
  <si>
    <t>F</t>
  </si>
  <si>
    <t>Sexo</t>
  </si>
  <si>
    <t>M</t>
  </si>
  <si>
    <t>Total Geral</t>
  </si>
  <si>
    <t>%</t>
  </si>
  <si>
    <t>fi</t>
  </si>
  <si>
    <t>fac</t>
  </si>
  <si>
    <t>12-14</t>
  </si>
  <si>
    <t>15-17</t>
  </si>
  <si>
    <t>18-20</t>
  </si>
  <si>
    <t>21-23</t>
  </si>
  <si>
    <t>24-26</t>
  </si>
  <si>
    <t>30-32</t>
  </si>
  <si>
    <t>33-35</t>
  </si>
  <si>
    <t>36-38</t>
  </si>
  <si>
    <t>39-41</t>
  </si>
  <si>
    <t>Tempo de Acesso</t>
  </si>
  <si>
    <t>20-22</t>
  </si>
  <si>
    <t>23-25</t>
  </si>
  <si>
    <t>26-28</t>
  </si>
  <si>
    <t>29-31</t>
  </si>
  <si>
    <t>32-34</t>
  </si>
  <si>
    <t>35-37</t>
  </si>
  <si>
    <t>38-40</t>
  </si>
  <si>
    <t>44-46</t>
  </si>
  <si>
    <t>47-49</t>
  </si>
  <si>
    <t>59-61</t>
  </si>
  <si>
    <t>Média</t>
  </si>
  <si>
    <t>Moda</t>
  </si>
  <si>
    <t>Mediana</t>
  </si>
  <si>
    <t>Variância</t>
  </si>
  <si>
    <t>Desvio Padrão</t>
  </si>
  <si>
    <t>Coef. De Variação</t>
  </si>
  <si>
    <t>Mínimo</t>
  </si>
  <si>
    <t>Q1</t>
  </si>
  <si>
    <t>Q2</t>
  </si>
  <si>
    <t>Q3</t>
  </si>
  <si>
    <t>Máximo</t>
  </si>
  <si>
    <t xml:space="preserve"> Escor 60</t>
  </si>
  <si>
    <t>Outlier</t>
  </si>
  <si>
    <t>Rótulos de Linha</t>
  </si>
  <si>
    <t>Contagem de Tempo de acesso semanal</t>
  </si>
  <si>
    <t>20-24</t>
  </si>
  <si>
    <t>25-29</t>
  </si>
  <si>
    <t>30-34</t>
  </si>
  <si>
    <t>35-39</t>
  </si>
  <si>
    <t>40-44</t>
  </si>
  <si>
    <t>45-49</t>
  </si>
  <si>
    <t>55-60</t>
  </si>
  <si>
    <t>Rótulos de Coluna</t>
  </si>
  <si>
    <t>a)</t>
  </si>
  <si>
    <t>b)</t>
  </si>
  <si>
    <t>Média de Tempo de acesso semanal</t>
  </si>
  <si>
    <t>Há uma diferença de padrão entre os homens e as mulheres, com os homens tendo um padrão maior comparado ao das mulheres que param de apararecer.</t>
  </si>
  <si>
    <t>c)</t>
  </si>
  <si>
    <t>Contagem de Idade</t>
  </si>
  <si>
    <t>12-16</t>
  </si>
  <si>
    <t>17-21</t>
  </si>
  <si>
    <t>22-26</t>
  </si>
  <si>
    <t>27-31</t>
  </si>
  <si>
    <t>32-36</t>
  </si>
  <si>
    <t>37-41</t>
  </si>
  <si>
    <t>A faixa etária de 17-21 é dominado pelos homens; a faixa etária de 27-31 é dominada pelos homens; a faixa etária de 32-36 é dominada pelas mulheres; a faixa etária de 37 a 41 é dominada pelos homens.</t>
  </si>
  <si>
    <t>Os homens possuem uma média de acesso maior de 33,71 comparado ao das mulheres de 32,15.</t>
  </si>
  <si>
    <t>d)</t>
  </si>
  <si>
    <t>Faixa Etária</t>
  </si>
  <si>
    <t>A faixa etária de 37-41 possui maior tempo médio de acesso do que o resto.</t>
  </si>
  <si>
    <t>e)</t>
  </si>
  <si>
    <t>Os indíviduos da faixa etária 12-16 são os mais novos e os indívidups da faixa etária 37-41 são os mais velhos. Os mais novos possuem um tempo menor de acesso semanal de 23,13 comparado aos mais velhos que possuem 49,33, os velhos passam muito mais tempo conectados do que os mais novos.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</si>
</sst>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0"/>
      <name val="Arial"/>
    </font>
    <font>
      <b/>
      <sz val="10"/>
      <name val="Arial"/>
      <family val="2"/>
    </font>
    <font>
      <sz val="8"/>
      <name val="Arial"/>
    </font>
    <font>
      <sz val="28"/>
      <color rgb="FFFFFFFF"/>
      <name val="Arial"/>
      <family val="2"/>
    </font>
    <font>
      <sz val="10"/>
      <name val="Arial"/>
      <family val="2"/>
    </font>
    <font>
      <b/>
      <sz val="10"/>
      <color theme="1"/>
      <name val="Arial"/>
    </font>
  </fonts>
  <fills count="5">
    <fill>
      <patternFill patternType="none"/>
    </fill>
    <fill>
      <patternFill patternType="gray125"/>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5"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5">
    <xf numFmtId="0" fontId="0" fillId="0" borderId="0" xfId="0"/>
    <xf numFmtId="0" fontId="3" fillId="0" borderId="0" xfId="0" applyFont="1"/>
    <xf numFmtId="0" fontId="0" fillId="0" borderId="1" xfId="0" applyBorder="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2" fontId="0" fillId="0" borderId="0" xfId="0" applyNumberFormat="1"/>
    <xf numFmtId="0" fontId="4" fillId="0" borderId="0" xfId="0" applyFont="1"/>
    <xf numFmtId="0" fontId="0" fillId="0" borderId="0" xfId="0" applyAlignment="1">
      <alignment horizontal="center"/>
    </xf>
    <xf numFmtId="0" fontId="0" fillId="0" borderId="0" xfId="0" pivotButton="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10" fontId="0" fillId="0" borderId="0" xfId="0" applyNumberFormat="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3" xfId="0" applyNumberFormat="1" applyFont="1" applyFill="1" applyBorder="1" applyAlignment="1">
      <alignment horizontal="center" vertical="center"/>
    </xf>
    <xf numFmtId="0" fontId="0" fillId="0" borderId="0" xfId="0" applyBorder="1"/>
    <xf numFmtId="0" fontId="0" fillId="0" borderId="1" xfId="0" applyBorder="1"/>
    <xf numFmtId="2" fontId="0" fillId="0" borderId="1" xfId="0" applyNumberFormat="1" applyBorder="1" applyAlignment="1">
      <alignment horizontal="center" vertical="center"/>
    </xf>
    <xf numFmtId="0" fontId="0" fillId="0" borderId="1" xfId="0" applyBorder="1" applyAlignment="1">
      <alignment horizontal="center" vertical="center"/>
    </xf>
    <xf numFmtId="0" fontId="4" fillId="0" borderId="1" xfId="0" applyFont="1" applyBorder="1" applyAlignment="1">
      <alignment horizontal="center"/>
    </xf>
    <xf numFmtId="0" fontId="0" fillId="0" borderId="4" xfId="0" applyBorder="1"/>
    <xf numFmtId="0" fontId="0" fillId="0" borderId="5" xfId="0" applyBorder="1"/>
    <xf numFmtId="0" fontId="0" fillId="0" borderId="6" xfId="0" applyBorder="1"/>
    <xf numFmtId="0" fontId="0" fillId="0" borderId="7" xfId="0" applyBorder="1" applyAlignment="1">
      <alignment horizontal="center" vertical="center"/>
    </xf>
    <xf numFmtId="0" fontId="0" fillId="0" borderId="8" xfId="0" applyBorder="1" applyAlignment="1">
      <alignment horizontal="center" vertical="center"/>
    </xf>
    <xf numFmtId="164" fontId="0" fillId="0" borderId="1" xfId="0" applyNumberFormat="1" applyBorder="1" applyAlignment="1">
      <alignment horizontal="center"/>
    </xf>
    <xf numFmtId="2" fontId="0" fillId="0" borderId="1" xfId="0" applyNumberFormat="1" applyBorder="1" applyAlignment="1">
      <alignment horizontal="center"/>
    </xf>
    <xf numFmtId="0" fontId="0" fillId="0" borderId="0" xfId="0" pivotButton="1" applyAlignment="1">
      <alignment horizontal="center"/>
    </xf>
    <xf numFmtId="0" fontId="0" fillId="0" borderId="0" xfId="0" applyNumberFormat="1" applyAlignment="1">
      <alignment horizontal="center"/>
    </xf>
    <xf numFmtId="0" fontId="0" fillId="4" borderId="9" xfId="0" applyFill="1" applyBorder="1" applyAlignment="1">
      <alignment horizontal="center"/>
    </xf>
    <xf numFmtId="2" fontId="0" fillId="0" borderId="0" xfId="0" applyNumberFormat="1" applyAlignment="1">
      <alignment horizontal="center"/>
    </xf>
    <xf numFmtId="0" fontId="0" fillId="0" borderId="0" xfId="0" applyAlignment="1">
      <alignment wrapText="1"/>
    </xf>
    <xf numFmtId="0" fontId="0" fillId="0" borderId="0" xfId="0" applyAlignment="1">
      <alignment horizontal="center" vertical="center" wrapText="1"/>
    </xf>
    <xf numFmtId="2" fontId="0" fillId="0" borderId="0" xfId="0" applyNumberFormat="1" applyAlignment="1">
      <alignment horizontal="center" vertical="center"/>
    </xf>
    <xf numFmtId="0" fontId="0" fillId="0" borderId="0" xfId="0" applyAlignment="1">
      <alignment vertical="center" wrapText="1"/>
    </xf>
  </cellXfs>
  <cellStyles count="1">
    <cellStyle name="Normal" xfId="0" builtinId="0"/>
  </cellStyles>
  <dxfs count="92">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4" formatCode="0.00%"/>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Sexo!!!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Sexo!$B$8</c:f>
              <c:strCache>
                <c:ptCount val="1"/>
                <c:pt idx="0">
                  <c:v>fi</c:v>
                </c:pt>
              </c:strCache>
            </c:strRef>
          </c:tx>
          <c:spPr>
            <a:solidFill>
              <a:schemeClr val="accent1"/>
            </a:solidFill>
            <a:ln>
              <a:noFill/>
            </a:ln>
            <a:effectLst/>
          </c:spPr>
          <c:invertIfNegative val="0"/>
          <c:cat>
            <c:strRef>
              <c:f>Sexo!$A$9:$A$10</c:f>
              <c:strCache>
                <c:ptCount val="2"/>
                <c:pt idx="0">
                  <c:v>F</c:v>
                </c:pt>
                <c:pt idx="1">
                  <c:v>M</c:v>
                </c:pt>
              </c:strCache>
            </c:strRef>
          </c:cat>
          <c:val>
            <c:numRef>
              <c:f>Sexo!$B$9:$B$10</c:f>
              <c:numCache>
                <c:formatCode>General</c:formatCode>
                <c:ptCount val="2"/>
                <c:pt idx="0">
                  <c:v>13</c:v>
                </c:pt>
                <c:pt idx="1">
                  <c:v>17</c:v>
                </c:pt>
              </c:numCache>
            </c:numRef>
          </c:val>
          <c:extLst>
            <c:ext xmlns:c16="http://schemas.microsoft.com/office/drawing/2014/chart" uri="{C3380CC4-5D6E-409C-BE32-E72D297353CC}">
              <c16:uniqueId val="{00000000-C2A2-4AD4-9689-7219CB5C218C}"/>
            </c:ext>
          </c:extLst>
        </c:ser>
        <c:dLbls>
          <c:showLegendKey val="0"/>
          <c:showVal val="0"/>
          <c:showCatName val="0"/>
          <c:showSerName val="0"/>
          <c:showPercent val="0"/>
          <c:showBubbleSize val="0"/>
        </c:dLbls>
        <c:gapWidth val="219"/>
        <c:overlap val="-27"/>
        <c:axId val="2097678960"/>
        <c:axId val="2097678480"/>
      </c:barChart>
      <c:catAx>
        <c:axId val="209767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97678480"/>
        <c:crosses val="autoZero"/>
        <c:auto val="1"/>
        <c:lblAlgn val="ctr"/>
        <c:lblOffset val="100"/>
        <c:noMultiLvlLbl val="0"/>
      </c:catAx>
      <c:valAx>
        <c:axId val="209767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97678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Sexo!!!!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strRef>
              <c:f>Sexo!$B$8</c:f>
              <c:strCache>
                <c:ptCount val="1"/>
                <c:pt idx="0">
                  <c:v>fi</c:v>
                </c:pt>
              </c:strCache>
            </c:strRef>
          </c:tx>
          <c:spPr>
            <a:solidFill>
              <a:schemeClr val="accent1"/>
            </a:solidFill>
            <a:ln>
              <a:noFill/>
            </a:ln>
            <a:effectLst/>
          </c:spPr>
          <c:invertIfNegative val="0"/>
          <c:cat>
            <c:strRef>
              <c:f>Sexo!$A$9:$A$10</c:f>
              <c:strCache>
                <c:ptCount val="2"/>
                <c:pt idx="0">
                  <c:v>F</c:v>
                </c:pt>
                <c:pt idx="1">
                  <c:v>M</c:v>
                </c:pt>
              </c:strCache>
            </c:strRef>
          </c:cat>
          <c:val>
            <c:numRef>
              <c:f>Sexo!$B$9:$B$10</c:f>
              <c:numCache>
                <c:formatCode>General</c:formatCode>
                <c:ptCount val="2"/>
                <c:pt idx="0">
                  <c:v>13</c:v>
                </c:pt>
                <c:pt idx="1">
                  <c:v>17</c:v>
                </c:pt>
              </c:numCache>
            </c:numRef>
          </c:val>
          <c:extLst>
            <c:ext xmlns:c16="http://schemas.microsoft.com/office/drawing/2014/chart" uri="{C3380CC4-5D6E-409C-BE32-E72D297353CC}">
              <c16:uniqueId val="{00000000-E0B5-4E9F-A096-CD1F291DA9E2}"/>
            </c:ext>
          </c:extLst>
        </c:ser>
        <c:dLbls>
          <c:showLegendKey val="0"/>
          <c:showVal val="0"/>
          <c:showCatName val="0"/>
          <c:showSerName val="0"/>
          <c:showPercent val="0"/>
          <c:showBubbleSize val="0"/>
        </c:dLbls>
        <c:gapWidth val="182"/>
        <c:axId val="2103756880"/>
        <c:axId val="2103757840"/>
      </c:barChart>
      <c:catAx>
        <c:axId val="210375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03757840"/>
        <c:crosses val="autoZero"/>
        <c:auto val="1"/>
        <c:lblAlgn val="ctr"/>
        <c:lblOffset val="100"/>
        <c:noMultiLvlLbl val="0"/>
      </c:catAx>
      <c:valAx>
        <c:axId val="2103757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03756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Idade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idade!$B$16</c:f>
              <c:strCache>
                <c:ptCount val="1"/>
                <c:pt idx="0">
                  <c:v>fi</c:v>
                </c:pt>
              </c:strCache>
            </c:strRef>
          </c:tx>
          <c:spPr>
            <a:solidFill>
              <a:schemeClr val="accent1"/>
            </a:solidFill>
            <a:ln>
              <a:noFill/>
            </a:ln>
            <a:effectLst/>
          </c:spPr>
          <c:invertIfNegative val="0"/>
          <c:cat>
            <c:strRef>
              <c:f>idade!$A$17:$A$25</c:f>
              <c:strCache>
                <c:ptCount val="9"/>
                <c:pt idx="0">
                  <c:v>12-14</c:v>
                </c:pt>
                <c:pt idx="1">
                  <c:v>15-17</c:v>
                </c:pt>
                <c:pt idx="2">
                  <c:v>18-20</c:v>
                </c:pt>
                <c:pt idx="3">
                  <c:v>21-23</c:v>
                </c:pt>
                <c:pt idx="4">
                  <c:v>24-26</c:v>
                </c:pt>
                <c:pt idx="5">
                  <c:v>30-32</c:v>
                </c:pt>
                <c:pt idx="6">
                  <c:v>33-35</c:v>
                </c:pt>
                <c:pt idx="7">
                  <c:v>36-38</c:v>
                </c:pt>
                <c:pt idx="8">
                  <c:v>39-41</c:v>
                </c:pt>
              </c:strCache>
            </c:strRef>
          </c:cat>
          <c:val>
            <c:numRef>
              <c:f>idade!$B$17:$B$25</c:f>
              <c:numCache>
                <c:formatCode>General</c:formatCode>
                <c:ptCount val="9"/>
                <c:pt idx="0">
                  <c:v>5</c:v>
                </c:pt>
                <c:pt idx="1">
                  <c:v>4</c:v>
                </c:pt>
                <c:pt idx="2">
                  <c:v>6</c:v>
                </c:pt>
                <c:pt idx="3">
                  <c:v>4</c:v>
                </c:pt>
                <c:pt idx="4">
                  <c:v>1</c:v>
                </c:pt>
                <c:pt idx="5">
                  <c:v>3</c:v>
                </c:pt>
                <c:pt idx="6">
                  <c:v>4</c:v>
                </c:pt>
                <c:pt idx="7">
                  <c:v>2</c:v>
                </c:pt>
                <c:pt idx="8">
                  <c:v>1</c:v>
                </c:pt>
              </c:numCache>
            </c:numRef>
          </c:val>
          <c:extLst>
            <c:ext xmlns:c16="http://schemas.microsoft.com/office/drawing/2014/chart" uri="{C3380CC4-5D6E-409C-BE32-E72D297353CC}">
              <c16:uniqueId val="{00000000-BA0A-46A6-9739-98392A837C55}"/>
            </c:ext>
          </c:extLst>
        </c:ser>
        <c:dLbls>
          <c:showLegendKey val="0"/>
          <c:showVal val="0"/>
          <c:showCatName val="0"/>
          <c:showSerName val="0"/>
          <c:showPercent val="0"/>
          <c:showBubbleSize val="0"/>
        </c:dLbls>
        <c:gapWidth val="219"/>
        <c:overlap val="-27"/>
        <c:axId val="2103754960"/>
        <c:axId val="2099317936"/>
      </c:barChart>
      <c:catAx>
        <c:axId val="210375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99317936"/>
        <c:crosses val="autoZero"/>
        <c:auto val="1"/>
        <c:lblAlgn val="ctr"/>
        <c:lblOffset val="100"/>
        <c:noMultiLvlLbl val="0"/>
      </c:catAx>
      <c:valAx>
        <c:axId val="209931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03754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Tempo De acesso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'tempo de acesso'!$B$16</c:f>
              <c:strCache>
                <c:ptCount val="1"/>
                <c:pt idx="0">
                  <c:v>fi</c:v>
                </c:pt>
              </c:strCache>
            </c:strRef>
          </c:tx>
          <c:spPr>
            <a:solidFill>
              <a:schemeClr val="accent1"/>
            </a:solidFill>
            <a:ln>
              <a:noFill/>
            </a:ln>
            <a:effectLst/>
          </c:spPr>
          <c:invertIfNegative val="0"/>
          <c:cat>
            <c:strRef>
              <c:f>'tempo de acesso'!$A$17:$A$26</c:f>
              <c:strCache>
                <c:ptCount val="10"/>
                <c:pt idx="0">
                  <c:v>20-22</c:v>
                </c:pt>
                <c:pt idx="1">
                  <c:v>23-25</c:v>
                </c:pt>
                <c:pt idx="2">
                  <c:v>26-28</c:v>
                </c:pt>
                <c:pt idx="3">
                  <c:v>29-31</c:v>
                </c:pt>
                <c:pt idx="4">
                  <c:v>32-34</c:v>
                </c:pt>
                <c:pt idx="5">
                  <c:v>35-37</c:v>
                </c:pt>
                <c:pt idx="6">
                  <c:v>38-40</c:v>
                </c:pt>
                <c:pt idx="7">
                  <c:v>44-46</c:v>
                </c:pt>
                <c:pt idx="8">
                  <c:v>47-49</c:v>
                </c:pt>
                <c:pt idx="9">
                  <c:v>59-61</c:v>
                </c:pt>
              </c:strCache>
            </c:strRef>
          </c:cat>
          <c:val>
            <c:numRef>
              <c:f>'tempo de acesso'!$B$17:$B$26</c:f>
              <c:numCache>
                <c:formatCode>General</c:formatCode>
                <c:ptCount val="10"/>
                <c:pt idx="0">
                  <c:v>4</c:v>
                </c:pt>
                <c:pt idx="1">
                  <c:v>2</c:v>
                </c:pt>
                <c:pt idx="2">
                  <c:v>3</c:v>
                </c:pt>
                <c:pt idx="3">
                  <c:v>7</c:v>
                </c:pt>
                <c:pt idx="4">
                  <c:v>2</c:v>
                </c:pt>
                <c:pt idx="5">
                  <c:v>2</c:v>
                </c:pt>
                <c:pt idx="6">
                  <c:v>6</c:v>
                </c:pt>
                <c:pt idx="7">
                  <c:v>2</c:v>
                </c:pt>
                <c:pt idx="8">
                  <c:v>1</c:v>
                </c:pt>
                <c:pt idx="9">
                  <c:v>1</c:v>
                </c:pt>
              </c:numCache>
            </c:numRef>
          </c:val>
          <c:extLst>
            <c:ext xmlns:c16="http://schemas.microsoft.com/office/drawing/2014/chart" uri="{C3380CC4-5D6E-409C-BE32-E72D297353CC}">
              <c16:uniqueId val="{00000000-7F0D-4E18-8FA3-9D9313895337}"/>
            </c:ext>
          </c:extLst>
        </c:ser>
        <c:dLbls>
          <c:showLegendKey val="0"/>
          <c:showVal val="0"/>
          <c:showCatName val="0"/>
          <c:showSerName val="0"/>
          <c:showPercent val="0"/>
          <c:showBubbleSize val="0"/>
        </c:dLbls>
        <c:gapWidth val="219"/>
        <c:overlap val="-27"/>
        <c:axId val="2003454768"/>
        <c:axId val="2003455728"/>
      </c:barChart>
      <c:catAx>
        <c:axId val="200345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03455728"/>
        <c:crosses val="autoZero"/>
        <c:auto val="1"/>
        <c:lblAlgn val="ctr"/>
        <c:lblOffset val="100"/>
        <c:noMultiLvlLbl val="0"/>
      </c:catAx>
      <c:valAx>
        <c:axId val="200345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03454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[Atividade - Escore.xlsx]Parte 2!Tabela dinâmica2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'Parte 2'!$B$3:$B$4</c:f>
              <c:strCache>
                <c:ptCount val="1"/>
                <c:pt idx="0">
                  <c:v>F</c:v>
                </c:pt>
              </c:strCache>
            </c:strRef>
          </c:tx>
          <c:spPr>
            <a:solidFill>
              <a:schemeClr val="accent1"/>
            </a:solidFill>
            <a:ln>
              <a:noFill/>
            </a:ln>
            <a:effectLst/>
          </c:spPr>
          <c:invertIfNegative val="0"/>
          <c:cat>
            <c:strRef>
              <c:f>'Parte 2'!$A$5:$A$12</c:f>
              <c:strCache>
                <c:ptCount val="7"/>
                <c:pt idx="0">
                  <c:v>20-24</c:v>
                </c:pt>
                <c:pt idx="1">
                  <c:v>25-29</c:v>
                </c:pt>
                <c:pt idx="2">
                  <c:v>30-34</c:v>
                </c:pt>
                <c:pt idx="3">
                  <c:v>35-39</c:v>
                </c:pt>
                <c:pt idx="4">
                  <c:v>40-44</c:v>
                </c:pt>
                <c:pt idx="5">
                  <c:v>45-49</c:v>
                </c:pt>
                <c:pt idx="6">
                  <c:v>55-60</c:v>
                </c:pt>
              </c:strCache>
            </c:strRef>
          </c:cat>
          <c:val>
            <c:numRef>
              <c:f>'Parte 2'!$B$5:$B$12</c:f>
              <c:numCache>
                <c:formatCode>General</c:formatCode>
                <c:ptCount val="7"/>
                <c:pt idx="0">
                  <c:v>3</c:v>
                </c:pt>
                <c:pt idx="1">
                  <c:v>1</c:v>
                </c:pt>
                <c:pt idx="2">
                  <c:v>3</c:v>
                </c:pt>
                <c:pt idx="3">
                  <c:v>3</c:v>
                </c:pt>
                <c:pt idx="4">
                  <c:v>3</c:v>
                </c:pt>
              </c:numCache>
            </c:numRef>
          </c:val>
          <c:extLst>
            <c:ext xmlns:c16="http://schemas.microsoft.com/office/drawing/2014/chart" uri="{C3380CC4-5D6E-409C-BE32-E72D297353CC}">
              <c16:uniqueId val="{00000000-A7A9-4933-930F-6FC452DFE8CB}"/>
            </c:ext>
          </c:extLst>
        </c:ser>
        <c:ser>
          <c:idx val="1"/>
          <c:order val="1"/>
          <c:tx>
            <c:strRef>
              <c:f>'Parte 2'!$C$3:$C$4</c:f>
              <c:strCache>
                <c:ptCount val="1"/>
                <c:pt idx="0">
                  <c:v>M</c:v>
                </c:pt>
              </c:strCache>
            </c:strRef>
          </c:tx>
          <c:spPr>
            <a:solidFill>
              <a:schemeClr val="accent2"/>
            </a:solidFill>
            <a:ln>
              <a:noFill/>
            </a:ln>
            <a:effectLst/>
          </c:spPr>
          <c:invertIfNegative val="0"/>
          <c:cat>
            <c:strRef>
              <c:f>'Parte 2'!$A$5:$A$12</c:f>
              <c:strCache>
                <c:ptCount val="7"/>
                <c:pt idx="0">
                  <c:v>20-24</c:v>
                </c:pt>
                <c:pt idx="1">
                  <c:v>25-29</c:v>
                </c:pt>
                <c:pt idx="2">
                  <c:v>30-34</c:v>
                </c:pt>
                <c:pt idx="3">
                  <c:v>35-39</c:v>
                </c:pt>
                <c:pt idx="4">
                  <c:v>40-44</c:v>
                </c:pt>
                <c:pt idx="5">
                  <c:v>45-49</c:v>
                </c:pt>
                <c:pt idx="6">
                  <c:v>55-60</c:v>
                </c:pt>
              </c:strCache>
            </c:strRef>
          </c:cat>
          <c:val>
            <c:numRef>
              <c:f>'Parte 2'!$C$5:$C$12</c:f>
              <c:numCache>
                <c:formatCode>General</c:formatCode>
                <c:ptCount val="7"/>
                <c:pt idx="0">
                  <c:v>2</c:v>
                </c:pt>
                <c:pt idx="1">
                  <c:v>3</c:v>
                </c:pt>
                <c:pt idx="2">
                  <c:v>6</c:v>
                </c:pt>
                <c:pt idx="3">
                  <c:v>1</c:v>
                </c:pt>
                <c:pt idx="4">
                  <c:v>3</c:v>
                </c:pt>
                <c:pt idx="5">
                  <c:v>1</c:v>
                </c:pt>
                <c:pt idx="6">
                  <c:v>1</c:v>
                </c:pt>
              </c:numCache>
            </c:numRef>
          </c:val>
          <c:extLst>
            <c:ext xmlns:c16="http://schemas.microsoft.com/office/drawing/2014/chart" uri="{C3380CC4-5D6E-409C-BE32-E72D297353CC}">
              <c16:uniqueId val="{00000001-A7A9-4933-930F-6FC452DFE8CB}"/>
            </c:ext>
          </c:extLst>
        </c:ser>
        <c:dLbls>
          <c:showLegendKey val="0"/>
          <c:showVal val="0"/>
          <c:showCatName val="0"/>
          <c:showSerName val="0"/>
          <c:showPercent val="0"/>
          <c:showBubbleSize val="0"/>
        </c:dLbls>
        <c:gapWidth val="219"/>
        <c:overlap val="-27"/>
        <c:axId val="1807737535"/>
        <c:axId val="1807738015"/>
      </c:barChart>
      <c:catAx>
        <c:axId val="180773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07738015"/>
        <c:crosses val="autoZero"/>
        <c:auto val="1"/>
        <c:lblAlgn val="ctr"/>
        <c:lblOffset val="100"/>
        <c:noMultiLvlLbl val="0"/>
      </c:catAx>
      <c:valAx>
        <c:axId val="180773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0773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[Atividade - Escore.xlsx]Parte 2!Tabela dinâmica5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'Parte 2'!$B$32:$B$33</c:f>
              <c:strCache>
                <c:ptCount val="1"/>
                <c:pt idx="0">
                  <c:v>F</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'Parte 2'!$A$34:$A$41</c:f>
              <c:strCache>
                <c:ptCount val="7"/>
                <c:pt idx="0">
                  <c:v>20-24</c:v>
                </c:pt>
                <c:pt idx="1">
                  <c:v>25-29</c:v>
                </c:pt>
                <c:pt idx="2">
                  <c:v>30-34</c:v>
                </c:pt>
                <c:pt idx="3">
                  <c:v>35-39</c:v>
                </c:pt>
                <c:pt idx="4">
                  <c:v>40-44</c:v>
                </c:pt>
                <c:pt idx="5">
                  <c:v>45-49</c:v>
                </c:pt>
                <c:pt idx="6">
                  <c:v>55-60</c:v>
                </c:pt>
              </c:strCache>
            </c:strRef>
          </c:cat>
          <c:val>
            <c:numRef>
              <c:f>'Parte 2'!$B$34:$B$41</c:f>
              <c:numCache>
                <c:formatCode>0.00</c:formatCode>
                <c:ptCount val="7"/>
                <c:pt idx="0">
                  <c:v>22</c:v>
                </c:pt>
                <c:pt idx="1">
                  <c:v>25</c:v>
                </c:pt>
                <c:pt idx="2">
                  <c:v>30</c:v>
                </c:pt>
                <c:pt idx="3">
                  <c:v>36.333333333333336</c:v>
                </c:pt>
                <c:pt idx="4">
                  <c:v>42.666666666666664</c:v>
                </c:pt>
              </c:numCache>
            </c:numRef>
          </c:val>
          <c:extLst>
            <c:ext xmlns:c16="http://schemas.microsoft.com/office/drawing/2014/chart" uri="{C3380CC4-5D6E-409C-BE32-E72D297353CC}">
              <c16:uniqueId val="{00000000-B03B-4810-AC92-44642622AD33}"/>
            </c:ext>
          </c:extLst>
        </c:ser>
        <c:ser>
          <c:idx val="1"/>
          <c:order val="1"/>
          <c:tx>
            <c:strRef>
              <c:f>'Parte 2'!$C$32:$C$33</c:f>
              <c:strCache>
                <c:ptCount val="1"/>
                <c:pt idx="0">
                  <c:v>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'Parte 2'!$A$34:$A$41</c:f>
              <c:strCache>
                <c:ptCount val="7"/>
                <c:pt idx="0">
                  <c:v>20-24</c:v>
                </c:pt>
                <c:pt idx="1">
                  <c:v>25-29</c:v>
                </c:pt>
                <c:pt idx="2">
                  <c:v>30-34</c:v>
                </c:pt>
                <c:pt idx="3">
                  <c:v>35-39</c:v>
                </c:pt>
                <c:pt idx="4">
                  <c:v>40-44</c:v>
                </c:pt>
                <c:pt idx="5">
                  <c:v>45-49</c:v>
                </c:pt>
                <c:pt idx="6">
                  <c:v>55-60</c:v>
                </c:pt>
              </c:strCache>
            </c:strRef>
          </c:cat>
          <c:val>
            <c:numRef>
              <c:f>'Parte 2'!$C$34:$C$41</c:f>
              <c:numCache>
                <c:formatCode>0.00</c:formatCode>
                <c:ptCount val="7"/>
                <c:pt idx="0">
                  <c:v>20.5</c:v>
                </c:pt>
                <c:pt idx="1">
                  <c:v>26.666666666666668</c:v>
                </c:pt>
                <c:pt idx="2">
                  <c:v>31</c:v>
                </c:pt>
                <c:pt idx="3">
                  <c:v>38</c:v>
                </c:pt>
                <c:pt idx="4">
                  <c:v>40</c:v>
                </c:pt>
                <c:pt idx="5">
                  <c:v>48</c:v>
                </c:pt>
                <c:pt idx="6">
                  <c:v>60</c:v>
                </c:pt>
              </c:numCache>
            </c:numRef>
          </c:val>
          <c:extLst>
            <c:ext xmlns:c16="http://schemas.microsoft.com/office/drawing/2014/chart" uri="{C3380CC4-5D6E-409C-BE32-E72D297353CC}">
              <c16:uniqueId val="{00000001-B03B-4810-AC92-44642622AD33}"/>
            </c:ext>
          </c:extLst>
        </c:ser>
        <c:dLbls>
          <c:dLblPos val="outEnd"/>
          <c:showLegendKey val="0"/>
          <c:showVal val="0"/>
          <c:showCatName val="0"/>
          <c:showSerName val="0"/>
          <c:showPercent val="0"/>
          <c:showBubbleSize val="0"/>
        </c:dLbls>
        <c:gapWidth val="100"/>
        <c:overlap val="-24"/>
        <c:axId val="1914860783"/>
        <c:axId val="1914861263"/>
      </c:barChart>
      <c:catAx>
        <c:axId val="191486078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14861263"/>
        <c:crosses val="autoZero"/>
        <c:auto val="1"/>
        <c:lblAlgn val="ctr"/>
        <c:lblOffset val="100"/>
        <c:noMultiLvlLbl val="0"/>
      </c:catAx>
      <c:valAx>
        <c:axId val="19148612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1486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[Atividade - Escore.xlsx]Parte 2!Tabela dinâmica8</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'Parte 2'!$B$50:$B$51</c:f>
              <c:strCache>
                <c:ptCount val="1"/>
                <c:pt idx="0">
                  <c:v>F</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'Parte 2'!$A$52:$A$58</c:f>
              <c:strCache>
                <c:ptCount val="6"/>
                <c:pt idx="0">
                  <c:v>12-16</c:v>
                </c:pt>
                <c:pt idx="1">
                  <c:v>17-21</c:v>
                </c:pt>
                <c:pt idx="2">
                  <c:v>22-26</c:v>
                </c:pt>
                <c:pt idx="3">
                  <c:v>27-31</c:v>
                </c:pt>
                <c:pt idx="4">
                  <c:v>32-36</c:v>
                </c:pt>
                <c:pt idx="5">
                  <c:v>37-41</c:v>
                </c:pt>
              </c:strCache>
            </c:strRef>
          </c:cat>
          <c:val>
            <c:numRef>
              <c:f>'Parte 2'!$B$52:$B$58</c:f>
              <c:numCache>
                <c:formatCode>General</c:formatCode>
                <c:ptCount val="6"/>
                <c:pt idx="0">
                  <c:v>4</c:v>
                </c:pt>
                <c:pt idx="1">
                  <c:v>2</c:v>
                </c:pt>
                <c:pt idx="2">
                  <c:v>2</c:v>
                </c:pt>
                <c:pt idx="4">
                  <c:v>4</c:v>
                </c:pt>
                <c:pt idx="5">
                  <c:v>1</c:v>
                </c:pt>
              </c:numCache>
            </c:numRef>
          </c:val>
          <c:extLst>
            <c:ext xmlns:c16="http://schemas.microsoft.com/office/drawing/2014/chart" uri="{C3380CC4-5D6E-409C-BE32-E72D297353CC}">
              <c16:uniqueId val="{00000000-18EC-4D49-A30A-F464F06E4E3E}"/>
            </c:ext>
          </c:extLst>
        </c:ser>
        <c:ser>
          <c:idx val="1"/>
          <c:order val="1"/>
          <c:tx>
            <c:strRef>
              <c:f>'Parte 2'!$C$50:$C$51</c:f>
              <c:strCache>
                <c:ptCount val="1"/>
                <c:pt idx="0">
                  <c:v>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'Parte 2'!$A$52:$A$58</c:f>
              <c:strCache>
                <c:ptCount val="6"/>
                <c:pt idx="0">
                  <c:v>12-16</c:v>
                </c:pt>
                <c:pt idx="1">
                  <c:v>17-21</c:v>
                </c:pt>
                <c:pt idx="2">
                  <c:v>22-26</c:v>
                </c:pt>
                <c:pt idx="3">
                  <c:v>27-31</c:v>
                </c:pt>
                <c:pt idx="4">
                  <c:v>32-36</c:v>
                </c:pt>
                <c:pt idx="5">
                  <c:v>37-41</c:v>
                </c:pt>
              </c:strCache>
            </c:strRef>
          </c:cat>
          <c:val>
            <c:numRef>
              <c:f>'Parte 2'!$C$52:$C$58</c:f>
              <c:numCache>
                <c:formatCode>General</c:formatCode>
                <c:ptCount val="6"/>
                <c:pt idx="0">
                  <c:v>4</c:v>
                </c:pt>
                <c:pt idx="1">
                  <c:v>6</c:v>
                </c:pt>
                <c:pt idx="2">
                  <c:v>2</c:v>
                </c:pt>
                <c:pt idx="3">
                  <c:v>1</c:v>
                </c:pt>
                <c:pt idx="4">
                  <c:v>2</c:v>
                </c:pt>
                <c:pt idx="5">
                  <c:v>2</c:v>
                </c:pt>
              </c:numCache>
            </c:numRef>
          </c:val>
          <c:extLst>
            <c:ext xmlns:c16="http://schemas.microsoft.com/office/drawing/2014/chart" uri="{C3380CC4-5D6E-409C-BE32-E72D297353CC}">
              <c16:uniqueId val="{00000001-18EC-4D49-A30A-F464F06E4E3E}"/>
            </c:ext>
          </c:extLst>
        </c:ser>
        <c:dLbls>
          <c:showLegendKey val="0"/>
          <c:showVal val="0"/>
          <c:showCatName val="0"/>
          <c:showSerName val="0"/>
          <c:showPercent val="0"/>
          <c:showBubbleSize val="0"/>
        </c:dLbls>
        <c:gapWidth val="100"/>
        <c:overlap val="-24"/>
        <c:axId val="75082431"/>
        <c:axId val="75082911"/>
      </c:barChart>
      <c:catAx>
        <c:axId val="750824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75082911"/>
        <c:crosses val="autoZero"/>
        <c:auto val="1"/>
        <c:lblAlgn val="ctr"/>
        <c:lblOffset val="100"/>
        <c:noMultiLvlLbl val="0"/>
      </c:catAx>
      <c:valAx>
        <c:axId val="750829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7508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[Atividade - Escore.xlsx]Parte 2!Tabela dinâmica9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Tempo médio de acesso por idade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'Parte 2'!$B$70</c:f>
              <c:strCache>
                <c:ptCount val="1"/>
                <c:pt idx="0">
                  <c:v>Total</c:v>
                </c:pt>
              </c:strCache>
            </c:strRef>
          </c:tx>
          <c:spPr>
            <a:solidFill>
              <a:schemeClr val="accent1"/>
            </a:solidFill>
            <a:ln>
              <a:noFill/>
            </a:ln>
            <a:effectLst/>
          </c:spPr>
          <c:invertIfNegative val="0"/>
          <c:cat>
            <c:strRef>
              <c:f>'Parte 2'!$A$71:$A$77</c:f>
              <c:strCache>
                <c:ptCount val="6"/>
                <c:pt idx="0">
                  <c:v>12-16</c:v>
                </c:pt>
                <c:pt idx="1">
                  <c:v>17-21</c:v>
                </c:pt>
                <c:pt idx="2">
                  <c:v>22-26</c:v>
                </c:pt>
                <c:pt idx="3">
                  <c:v>27-31</c:v>
                </c:pt>
                <c:pt idx="4">
                  <c:v>32-36</c:v>
                </c:pt>
                <c:pt idx="5">
                  <c:v>37-41</c:v>
                </c:pt>
              </c:strCache>
            </c:strRef>
          </c:cat>
          <c:val>
            <c:numRef>
              <c:f>'Parte 2'!$B$71:$B$77</c:f>
              <c:numCache>
                <c:formatCode>0.00</c:formatCode>
                <c:ptCount val="6"/>
                <c:pt idx="0">
                  <c:v>23.125</c:v>
                </c:pt>
                <c:pt idx="1">
                  <c:v>31</c:v>
                </c:pt>
                <c:pt idx="2">
                  <c:v>34.5</c:v>
                </c:pt>
                <c:pt idx="3">
                  <c:v>40</c:v>
                </c:pt>
                <c:pt idx="4">
                  <c:v>38.666666666666664</c:v>
                </c:pt>
                <c:pt idx="5">
                  <c:v>49.333333333333336</c:v>
                </c:pt>
              </c:numCache>
            </c:numRef>
          </c:val>
          <c:extLst>
            <c:ext xmlns:c16="http://schemas.microsoft.com/office/drawing/2014/chart" uri="{C3380CC4-5D6E-409C-BE32-E72D297353CC}">
              <c16:uniqueId val="{00000000-8B59-4705-A357-760408F2D371}"/>
            </c:ext>
          </c:extLst>
        </c:ser>
        <c:dLbls>
          <c:showLegendKey val="0"/>
          <c:showVal val="0"/>
          <c:showCatName val="0"/>
          <c:showSerName val="0"/>
          <c:showPercent val="0"/>
          <c:showBubbleSize val="0"/>
        </c:dLbls>
        <c:gapWidth val="219"/>
        <c:overlap val="-27"/>
        <c:axId val="74097679"/>
        <c:axId val="74117839"/>
      </c:barChart>
      <c:catAx>
        <c:axId val="7409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4117839"/>
        <c:crosses val="autoZero"/>
        <c:auto val="1"/>
        <c:lblAlgn val="ctr"/>
        <c:lblOffset val="100"/>
        <c:noMultiLvlLbl val="0"/>
      </c:catAx>
      <c:valAx>
        <c:axId val="741178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409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Idade</cx:v>
        </cx:txData>
      </cx:tx>
      <cx:txPr>
        <a:bodyPr spcFirstLastPara="1" vertOverflow="ellipsis" horzOverflow="overflow" wrap="square" lIns="0" tIns="0" rIns="0" bIns="0" anchor="ctr" anchorCtr="1"/>
        <a:lstStyle/>
        <a:p>
          <a:pPr algn="ctr" rtl="0">
            <a:defRPr/>
          </a:pPr>
          <a:r>
            <a:rPr lang="pt-BR" sz="1400" b="0" i="0" u="none" strike="noStrike" baseline="0">
              <a:solidFill>
                <a:sysClr val="windowText" lastClr="000000">
                  <a:lumMod val="65000"/>
                  <a:lumOff val="35000"/>
                </a:sysClr>
              </a:solidFill>
              <a:latin typeface="Calibri" panose="020F0502020204030204"/>
            </a:rPr>
            <a:t>Idade</a:t>
          </a:r>
        </a:p>
      </cx:txPr>
    </cx:title>
    <cx:plotArea>
      <cx:plotAreaRegion>
        <cx:series layoutId="boxWhisker" uniqueId="{134A2AB8-9C81-4E61-8DDB-1845B9C34728}">
          <cx:dataLabels>
            <cx:visibility seriesName="0" categoryName="0" value="1"/>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Tempo de Acesso</cx:v>
        </cx:txData>
      </cx:tx>
      <cx:txPr>
        <a:bodyPr spcFirstLastPara="1" vertOverflow="ellipsis" horzOverflow="overflow" wrap="square" lIns="0" tIns="0" rIns="0" bIns="0" anchor="ctr" anchorCtr="1"/>
        <a:lstStyle/>
        <a:p>
          <a:pPr algn="ctr" rtl="0">
            <a:defRPr/>
          </a:pPr>
          <a:r>
            <a:rPr lang="pt-BR" sz="1400" b="0" i="0" u="none" strike="noStrike" baseline="0">
              <a:solidFill>
                <a:sysClr val="windowText" lastClr="000000">
                  <a:lumMod val="65000"/>
                  <a:lumOff val="35000"/>
                </a:sysClr>
              </a:solidFill>
              <a:latin typeface="Calibri" panose="020F0502020204030204"/>
            </a:rPr>
            <a:t>Tempo de Acesso</a:t>
          </a:r>
        </a:p>
      </cx:txPr>
    </cx:title>
    <cx:plotArea>
      <cx:plotAreaRegion>
        <cx:series layoutId="boxWhisker" uniqueId="{EE592058-5C4E-42C7-93C7-DDE7B166DBC4}">
          <cx:dataLabels>
            <cx:visibility seriesName="0" categoryName="0" value="1"/>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7</xdr:col>
      <xdr:colOff>41275</xdr:colOff>
      <xdr:row>3</xdr:row>
      <xdr:rowOff>69850</xdr:rowOff>
    </xdr:from>
    <xdr:to>
      <xdr:col>14</xdr:col>
      <xdr:colOff>346075</xdr:colOff>
      <xdr:row>20</xdr:row>
      <xdr:rowOff>101600</xdr:rowOff>
    </xdr:to>
    <xdr:graphicFrame macro="">
      <xdr:nvGraphicFramePr>
        <xdr:cNvPr id="2" name="Gráfico 1">
          <a:extLst>
            <a:ext uri="{FF2B5EF4-FFF2-40B4-BE49-F238E27FC236}">
              <a16:creationId xmlns:a16="http://schemas.microsoft.com/office/drawing/2014/main" id="{EE54FE5D-39C6-21CA-1219-3EECCFFE7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41275</xdr:colOff>
      <xdr:row>3</xdr:row>
      <xdr:rowOff>69850</xdr:rowOff>
    </xdr:from>
    <xdr:to>
      <xdr:col>14</xdr:col>
      <xdr:colOff>346075</xdr:colOff>
      <xdr:row>20</xdr:row>
      <xdr:rowOff>101600</xdr:rowOff>
    </xdr:to>
    <xdr:graphicFrame macro="">
      <xdr:nvGraphicFramePr>
        <xdr:cNvPr id="3" name="Gráfico 2">
          <a:extLst>
            <a:ext uri="{FF2B5EF4-FFF2-40B4-BE49-F238E27FC236}">
              <a16:creationId xmlns:a16="http://schemas.microsoft.com/office/drawing/2014/main" id="{BDD15FCC-7FA0-B260-BFD0-BC1DA95E1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41275</xdr:colOff>
      <xdr:row>6</xdr:row>
      <xdr:rowOff>69850</xdr:rowOff>
    </xdr:from>
    <xdr:to>
      <xdr:col>14</xdr:col>
      <xdr:colOff>346075</xdr:colOff>
      <xdr:row>23</xdr:row>
      <xdr:rowOff>107950</xdr:rowOff>
    </xdr:to>
    <xdr:graphicFrame macro="">
      <xdr:nvGraphicFramePr>
        <xdr:cNvPr id="2" name="Gráfico 1">
          <a:extLst>
            <a:ext uri="{FF2B5EF4-FFF2-40B4-BE49-F238E27FC236}">
              <a16:creationId xmlns:a16="http://schemas.microsoft.com/office/drawing/2014/main" id="{216CDE6B-6F44-FB2A-DC30-39A175FE6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79375</xdr:colOff>
      <xdr:row>6</xdr:row>
      <xdr:rowOff>69850</xdr:rowOff>
    </xdr:from>
    <xdr:to>
      <xdr:col>13</xdr:col>
      <xdr:colOff>384175</xdr:colOff>
      <xdr:row>23</xdr:row>
      <xdr:rowOff>107950</xdr:rowOff>
    </xdr:to>
    <xdr:graphicFrame macro="">
      <xdr:nvGraphicFramePr>
        <xdr:cNvPr id="2" name="Gráfico 1">
          <a:extLst>
            <a:ext uri="{FF2B5EF4-FFF2-40B4-BE49-F238E27FC236}">
              <a16:creationId xmlns:a16="http://schemas.microsoft.com/office/drawing/2014/main" id="{3205C495-5630-8E42-4F9B-A6CE38020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406400</xdr:colOff>
      <xdr:row>12</xdr:row>
      <xdr:rowOff>88900</xdr:rowOff>
    </xdr:from>
    <xdr:to>
      <xdr:col>4</xdr:col>
      <xdr:colOff>209550</xdr:colOff>
      <xdr:row>29</xdr:row>
      <xdr:rowOff>133350</xdr:rowOff>
    </xdr:to>
    <xdr:graphicFrame macro="">
      <xdr:nvGraphicFramePr>
        <xdr:cNvPr id="2" name="Gráfico 1">
          <a:extLst>
            <a:ext uri="{FF2B5EF4-FFF2-40B4-BE49-F238E27FC236}">
              <a16:creationId xmlns:a16="http://schemas.microsoft.com/office/drawing/2014/main" id="{0177008B-A78F-3829-7E7E-3D401E08B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95250</xdr:colOff>
      <xdr:row>30</xdr:row>
      <xdr:rowOff>127000</xdr:rowOff>
    </xdr:from>
    <xdr:to>
      <xdr:col>6</xdr:col>
      <xdr:colOff>3448050</xdr:colOff>
      <xdr:row>48</xdr:row>
      <xdr:rowOff>12700</xdr:rowOff>
    </xdr:to>
    <xdr:graphicFrame macro="">
      <xdr:nvGraphicFramePr>
        <xdr:cNvPr id="3" name="Gráfico 2">
          <a:extLst>
            <a:ext uri="{FF2B5EF4-FFF2-40B4-BE49-F238E27FC236}">
              <a16:creationId xmlns:a16="http://schemas.microsoft.com/office/drawing/2014/main" id="{0721E69F-5D79-2009-361E-287A46ABC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139700</xdr:colOff>
      <xdr:row>49</xdr:row>
      <xdr:rowOff>12700</xdr:rowOff>
    </xdr:from>
    <xdr:to>
      <xdr:col>6</xdr:col>
      <xdr:colOff>3492500</xdr:colOff>
      <xdr:row>66</xdr:row>
      <xdr:rowOff>57150</xdr:rowOff>
    </xdr:to>
    <xdr:graphicFrame macro="">
      <xdr:nvGraphicFramePr>
        <xdr:cNvPr id="4" name="Gráfico 3">
          <a:extLst>
            <a:ext uri="{FF2B5EF4-FFF2-40B4-BE49-F238E27FC236}">
              <a16:creationId xmlns:a16="http://schemas.microsoft.com/office/drawing/2014/main" id="{F2C9DBEF-D0F0-D62A-0516-A6D2CB6BC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146050</xdr:colOff>
      <xdr:row>68</xdr:row>
      <xdr:rowOff>82550</xdr:rowOff>
    </xdr:from>
    <xdr:to>
      <xdr:col>6</xdr:col>
      <xdr:colOff>1466850</xdr:colOff>
      <xdr:row>85</xdr:row>
      <xdr:rowOff>127000</xdr:rowOff>
    </xdr:to>
    <xdr:graphicFrame macro="">
      <xdr:nvGraphicFramePr>
        <xdr:cNvPr id="5" name="Gráfico 4">
          <a:extLst>
            <a:ext uri="{FF2B5EF4-FFF2-40B4-BE49-F238E27FC236}">
              <a16:creationId xmlns:a16="http://schemas.microsoft.com/office/drawing/2014/main" id="{49BCD39D-AF97-0710-CD07-1E6025BBE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95249</xdr:colOff>
      <xdr:row>0</xdr:row>
      <xdr:rowOff>133350</xdr:rowOff>
    </xdr:from>
    <xdr:to>
      <xdr:col>16</xdr:col>
      <xdr:colOff>545201</xdr:colOff>
      <xdr:row>25</xdr:row>
      <xdr:rowOff>109040</xdr:rowOff>
    </xdr:to>
    <xdr:sp macro="" textlink="">
      <xdr:nvSpPr>
        <xdr:cNvPr id="3" name="Retângulo 2">
          <a:extLst>
            <a:ext uri="{FF2B5EF4-FFF2-40B4-BE49-F238E27FC236}">
              <a16:creationId xmlns:a16="http://schemas.microsoft.com/office/drawing/2014/main" id="{495BEBE3-0400-4C16-843A-D1A26A6F1323}"/>
            </a:ext>
          </a:extLst>
        </xdr:cNvPr>
        <xdr:cNvSpPr/>
      </xdr:nvSpPr>
      <xdr:spPr>
        <a:xfrm>
          <a:off x="2917471" y="133350"/>
          <a:ext cx="10013437" cy="440144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nSpc>
              <a:spcPts val="1400"/>
            </a:lnSpc>
          </a:pPr>
          <a:r>
            <a:rPr lang="pt-BR" sz="1200" b="0" cap="none" spc="0" baseline="0">
              <a:ln w="0"/>
              <a:solidFill>
                <a:sysClr val="windowText" lastClr="000000"/>
              </a:solidFill>
              <a:effectLst>
                <a:outerShdw blurRad="38100" dist="19050" dir="2700000" algn="tl" rotWithShape="0">
                  <a:schemeClr val="dk1">
                    <a:alpha val="40000"/>
                  </a:schemeClr>
                </a:outerShdw>
              </a:effectLst>
            </a:rPr>
            <a:t>Considere os dados sobre os usuários de internet com relação ao sexo, idade e </a:t>
          </a:r>
          <a:r>
            <a:rPr lang="pt-BR" sz="1200">
              <a:solidFill>
                <a:schemeClr val="dk1"/>
              </a:solidFill>
              <a:effectLst/>
              <a:latin typeface="+mn-lt"/>
              <a:ea typeface="+mn-ea"/>
              <a:cs typeface="+mn-cs"/>
            </a:rPr>
            <a:t>tempo de permanência na internet (horas por semana). </a:t>
          </a:r>
        </a:p>
        <a:p>
          <a:pPr lvl="0">
            <a:lnSpc>
              <a:spcPts val="1400"/>
            </a:lnSpc>
          </a:pPr>
          <a:endParaRPr lang="pt-BR" sz="1200">
            <a:solidFill>
              <a:schemeClr val="dk1"/>
            </a:solidFill>
            <a:effectLst/>
            <a:latin typeface="+mn-lt"/>
            <a:ea typeface="+mn-ea"/>
            <a:cs typeface="+mn-cs"/>
          </a:endParaRPr>
        </a:p>
        <a:p>
          <a:pPr eaLnBrk="1" fontAlgn="auto" latinLnBrk="0" hangingPunct="1"/>
          <a:r>
            <a:rPr lang="pt-BR" sz="1200" b="1">
              <a:solidFill>
                <a:schemeClr val="dk1"/>
              </a:solidFill>
              <a:effectLst/>
              <a:latin typeface="+mn-lt"/>
              <a:ea typeface="+mn-ea"/>
              <a:cs typeface="+mn-cs"/>
            </a:rPr>
            <a:t>1)</a:t>
          </a:r>
          <a:r>
            <a:rPr lang="pt-BR" sz="1200">
              <a:solidFill>
                <a:schemeClr val="dk1"/>
              </a:solidFill>
              <a:effectLst/>
              <a:latin typeface="+mn-lt"/>
              <a:ea typeface="+mn-ea"/>
              <a:cs typeface="+mn-cs"/>
            </a:rPr>
            <a:t> Classifique as variáveis da</a:t>
          </a:r>
          <a:r>
            <a:rPr lang="pt-BR" sz="1200" baseline="0">
              <a:solidFill>
                <a:schemeClr val="dk1"/>
              </a:solidFill>
              <a:effectLst/>
              <a:latin typeface="+mn-lt"/>
              <a:ea typeface="+mn-ea"/>
              <a:cs typeface="+mn-cs"/>
            </a:rPr>
            <a:t> tabela em qualitativa (nominal ou ordinal) ou quantitativa (discreta ou contínua).</a:t>
          </a:r>
        </a:p>
        <a:p>
          <a:pPr eaLnBrk="1" fontAlgn="auto" latinLnBrk="0" hangingPunct="1"/>
          <a:r>
            <a:rPr lang="pt-BR" sz="1200">
              <a:effectLst/>
            </a:rPr>
            <a:t>R: </a:t>
          </a:r>
          <a:r>
            <a:rPr lang="pt-BR" sz="1200" u="sng">
              <a:effectLst/>
            </a:rPr>
            <a:t>Sexo</a:t>
          </a:r>
          <a:r>
            <a:rPr lang="pt-BR" sz="1200" baseline="0">
              <a:effectLst/>
            </a:rPr>
            <a:t> : Qualitativa Nominal; </a:t>
          </a:r>
          <a:r>
            <a:rPr lang="pt-BR" sz="1200" u="sng" baseline="0">
              <a:effectLst/>
            </a:rPr>
            <a:t>Idade</a:t>
          </a:r>
          <a:r>
            <a:rPr lang="pt-BR" sz="1200" baseline="0">
              <a:effectLst/>
            </a:rPr>
            <a:t> : Quantitativa Discreta; </a:t>
          </a:r>
          <a:r>
            <a:rPr lang="pt-BR" sz="1200" u="sng" baseline="0">
              <a:effectLst/>
            </a:rPr>
            <a:t>Tempo de Acesso Semana </a:t>
          </a:r>
          <a:r>
            <a:rPr lang="pt-BR" sz="1200" baseline="0">
              <a:effectLst/>
            </a:rPr>
            <a:t>: Quantitativa Discreta.</a:t>
          </a:r>
          <a:endParaRPr lang="pt-BR" sz="1200">
            <a:effectLst/>
          </a:endParaRPr>
        </a:p>
        <a:p>
          <a:pPr eaLnBrk="1" fontAlgn="auto" latinLnBrk="0" hangingPunct="1"/>
          <a:endParaRPr lang="pt-BR" sz="1200">
            <a:effectLst/>
          </a:endParaRPr>
        </a:p>
        <a:p>
          <a:r>
            <a:rPr lang="pt-BR" sz="1200" b="1" baseline="0">
              <a:solidFill>
                <a:schemeClr val="dk1"/>
              </a:solidFill>
              <a:effectLst/>
              <a:latin typeface="+mn-lt"/>
              <a:ea typeface="+mn-ea"/>
              <a:cs typeface="+mn-cs"/>
            </a:rPr>
            <a:t>2) </a:t>
          </a:r>
          <a:r>
            <a:rPr lang="pt-BR" sz="1200">
              <a:solidFill>
                <a:schemeClr val="dk1"/>
              </a:solidFill>
              <a:effectLst/>
              <a:latin typeface="+mn-lt"/>
              <a:ea typeface="+mn-ea"/>
              <a:cs typeface="+mn-cs"/>
            </a:rPr>
            <a:t>Construa</a:t>
          </a:r>
          <a:r>
            <a:rPr lang="pt-BR" sz="1200" baseline="0">
              <a:solidFill>
                <a:schemeClr val="dk1"/>
              </a:solidFill>
              <a:effectLst/>
              <a:latin typeface="+mn-lt"/>
              <a:ea typeface="+mn-ea"/>
              <a:cs typeface="+mn-cs"/>
            </a:rPr>
            <a:t> as tabelas de frequências (</a:t>
          </a:r>
          <a:r>
            <a:rPr lang="pt-BR" sz="1200">
              <a:solidFill>
                <a:schemeClr val="dk1"/>
              </a:solidFill>
              <a:effectLst/>
              <a:latin typeface="+mn-lt"/>
              <a:ea typeface="+mn-ea"/>
              <a:cs typeface="+mn-cs"/>
            </a:rPr>
            <a:t>frequências simples,  frequência percentual e frequência acumulada)</a:t>
          </a:r>
          <a:r>
            <a:rPr lang="pt-BR" sz="1200" baseline="0">
              <a:solidFill>
                <a:schemeClr val="dk1"/>
              </a:solidFill>
              <a:effectLst/>
              <a:latin typeface="+mn-lt"/>
              <a:ea typeface="+mn-ea"/>
              <a:cs typeface="+mn-cs"/>
            </a:rPr>
            <a:t> </a:t>
          </a:r>
          <a:r>
            <a:rPr lang="pt-BR" sz="1200">
              <a:solidFill>
                <a:schemeClr val="dk1"/>
              </a:solidFill>
              <a:effectLst/>
              <a:latin typeface="+mn-lt"/>
              <a:ea typeface="+mn-ea"/>
              <a:cs typeface="+mn-cs"/>
            </a:rPr>
            <a:t>para  todas as variáveis.</a:t>
          </a:r>
          <a:r>
            <a:rPr lang="pt-BR" sz="1200" b="1" baseline="0">
              <a:solidFill>
                <a:schemeClr val="dk1"/>
              </a:solidFill>
              <a:effectLst/>
              <a:latin typeface="+mn-lt"/>
              <a:ea typeface="+mn-ea"/>
              <a:cs typeface="+mn-cs"/>
            </a:rPr>
            <a:t> </a:t>
          </a:r>
        </a:p>
        <a:p>
          <a:endParaRPr lang="pt-BR" sz="1200">
            <a:effectLst/>
          </a:endParaRPr>
        </a:p>
        <a:p>
          <a:r>
            <a:rPr lang="pt-BR" sz="1200" b="1">
              <a:solidFill>
                <a:schemeClr val="dk1"/>
              </a:solidFill>
              <a:effectLst/>
              <a:latin typeface="+mn-lt"/>
              <a:ea typeface="+mn-ea"/>
              <a:cs typeface="+mn-cs"/>
            </a:rPr>
            <a:t>3) </a:t>
          </a:r>
          <a:r>
            <a:rPr lang="pt-BR" sz="1200">
              <a:solidFill>
                <a:schemeClr val="dk1"/>
              </a:solidFill>
              <a:effectLst/>
              <a:latin typeface="+mn-lt"/>
              <a:ea typeface="+mn-ea"/>
              <a:cs typeface="+mn-cs"/>
            </a:rPr>
            <a:t>Contrua um </a:t>
          </a:r>
          <a:r>
            <a:rPr lang="pt-BR" sz="1200" baseline="0">
              <a:solidFill>
                <a:schemeClr val="dk1"/>
              </a:solidFill>
              <a:effectLst/>
              <a:latin typeface="+mn-lt"/>
              <a:ea typeface="+mn-ea"/>
              <a:cs typeface="+mn-cs"/>
            </a:rPr>
            <a:t>gráfico para cada variável do exercício 2</a:t>
          </a:r>
          <a:r>
            <a:rPr lang="pt-BR" sz="1200" b="1" baseline="0">
              <a:solidFill>
                <a:schemeClr val="dk1"/>
              </a:solidFill>
              <a:effectLst/>
              <a:latin typeface="+mn-lt"/>
              <a:ea typeface="+mn-ea"/>
              <a:cs typeface="+mn-cs"/>
            </a:rPr>
            <a:t>.</a:t>
          </a:r>
          <a:endParaRPr lang="pt-BR" sz="1200">
            <a:effectLst/>
          </a:endParaRPr>
        </a:p>
        <a:p>
          <a:pPr lvl="0"/>
          <a:endParaRPr lang="pt-BR" sz="1200">
            <a:solidFill>
              <a:schemeClr val="dk1"/>
            </a:solidFill>
            <a:effectLst/>
            <a:latin typeface="+mn-lt"/>
            <a:ea typeface="+mn-ea"/>
            <a:cs typeface="+mn-cs"/>
          </a:endParaRPr>
        </a:p>
        <a:p>
          <a:pPr lvl="0"/>
          <a:r>
            <a:rPr lang="pt-BR" sz="1200" b="1">
              <a:solidFill>
                <a:schemeClr val="dk1"/>
              </a:solidFill>
              <a:effectLst/>
              <a:latin typeface="+mn-lt"/>
              <a:ea typeface="+mn-ea"/>
              <a:cs typeface="+mn-cs"/>
            </a:rPr>
            <a:t>4) </a:t>
          </a:r>
          <a:r>
            <a:rPr lang="pt-BR" sz="1200">
              <a:solidFill>
                <a:schemeClr val="dk1"/>
              </a:solidFill>
              <a:effectLst/>
              <a:latin typeface="+mn-lt"/>
              <a:ea typeface="+mn-ea"/>
              <a:cs typeface="+mn-cs"/>
            </a:rPr>
            <a:t>Calcule para a variáveis</a:t>
          </a:r>
          <a:r>
            <a:rPr lang="pt-BR" sz="1200" baseline="0">
              <a:solidFill>
                <a:schemeClr val="dk1"/>
              </a:solidFill>
              <a:effectLst/>
              <a:latin typeface="+mn-lt"/>
              <a:ea typeface="+mn-ea"/>
              <a:cs typeface="+mn-cs"/>
            </a:rPr>
            <a:t> quantitativas</a:t>
          </a:r>
          <a:r>
            <a:rPr lang="pt-BR" sz="1200" b="1">
              <a:solidFill>
                <a:schemeClr val="dk1"/>
              </a:solidFill>
              <a:effectLst/>
              <a:latin typeface="+mn-lt"/>
              <a:ea typeface="+mn-ea"/>
              <a:cs typeface="+mn-cs"/>
            </a:rPr>
            <a:t>:</a:t>
          </a:r>
          <a:r>
            <a:rPr lang="pt-BR" sz="1200" b="1" baseline="0">
              <a:solidFill>
                <a:schemeClr val="dk1"/>
              </a:solidFill>
              <a:effectLst/>
              <a:latin typeface="+mn-lt"/>
              <a:ea typeface="+mn-ea"/>
              <a:cs typeface="+mn-cs"/>
            </a:rPr>
            <a:t> </a:t>
          </a:r>
          <a:r>
            <a:rPr lang="pt-BR" sz="1200">
              <a:solidFill>
                <a:schemeClr val="dk1"/>
              </a:solidFill>
              <a:effectLst/>
              <a:latin typeface="+mn-lt"/>
              <a:ea typeface="+mn-ea"/>
              <a:cs typeface="+mn-cs"/>
            </a:rPr>
            <a:t>Média, moda, mediana,</a:t>
          </a:r>
          <a:r>
            <a:rPr lang="pt-BR" sz="1200" baseline="0">
              <a:solidFill>
                <a:schemeClr val="dk1"/>
              </a:solidFill>
              <a:effectLst/>
              <a:latin typeface="+mn-lt"/>
              <a:ea typeface="+mn-ea"/>
              <a:cs typeface="+mn-cs"/>
            </a:rPr>
            <a:t> v</a:t>
          </a:r>
          <a:r>
            <a:rPr lang="pt-BR" sz="1200">
              <a:solidFill>
                <a:schemeClr val="dk1"/>
              </a:solidFill>
              <a:effectLst/>
              <a:latin typeface="+mn-lt"/>
              <a:ea typeface="+mn-ea"/>
              <a:cs typeface="+mn-cs"/>
            </a:rPr>
            <a:t>ariância e desvio padrão. </a:t>
          </a:r>
          <a:r>
            <a:rPr lang="pt-BR" sz="1200" baseline="0">
              <a:solidFill>
                <a:schemeClr val="dk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pt-BR" sz="1200" baseline="0">
              <a:solidFill>
                <a:schemeClr val="dk1"/>
              </a:solidFill>
              <a:effectLst/>
              <a:latin typeface="+mn-lt"/>
              <a:ea typeface="+mn-ea"/>
              <a:cs typeface="+mn-cs"/>
            </a:rPr>
            <a:t>a) Há muita </a:t>
          </a:r>
          <a:r>
            <a:rPr lang="pt-BR" sz="1200">
              <a:solidFill>
                <a:schemeClr val="dk1"/>
              </a:solidFill>
              <a:effectLst/>
              <a:latin typeface="+mn-lt"/>
              <a:ea typeface="+mn-ea"/>
              <a:cs typeface="+mn-cs"/>
            </a:rPr>
            <a:t>diferença entre média e mediana?</a:t>
          </a:r>
        </a:p>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chemeClr val="dk1"/>
              </a:solidFill>
              <a:effectLst/>
              <a:latin typeface="+mn-lt"/>
              <a:ea typeface="+mn-ea"/>
              <a:cs typeface="+mn-cs"/>
            </a:rPr>
            <a:t>R: Na idade tem uma pequena diferença de 2,5 entre a média e a mediana. No tempo de acesso</a:t>
          </a:r>
          <a:r>
            <a:rPr lang="pt-BR" sz="1200" baseline="0">
              <a:solidFill>
                <a:schemeClr val="dk1"/>
              </a:solidFill>
              <a:effectLst/>
              <a:latin typeface="+mn-lt"/>
              <a:ea typeface="+mn-ea"/>
              <a:cs typeface="+mn-cs"/>
            </a:rPr>
            <a:t> há uma média diferença de 3 pontos entre a média e mediana.</a:t>
          </a:r>
          <a:endParaRPr lang="pt-BR"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pt-BR" sz="1200">
            <a:solidFill>
              <a:schemeClr val="dk1"/>
            </a:solidFill>
            <a:effectLst/>
            <a:latin typeface="+mn-lt"/>
            <a:ea typeface="+mn-ea"/>
            <a:cs typeface="+mn-cs"/>
          </a:endParaRPr>
        </a:p>
        <a:p>
          <a:pPr lvl="0"/>
          <a:r>
            <a:rPr lang="pt-BR" sz="1200">
              <a:solidFill>
                <a:schemeClr val="dk1"/>
              </a:solidFill>
              <a:effectLst/>
              <a:latin typeface="+mn-lt"/>
              <a:ea typeface="+mn-ea"/>
              <a:cs typeface="+mn-cs"/>
            </a:rPr>
            <a:t>b) A </a:t>
          </a:r>
          <a:r>
            <a:rPr lang="pt-BR" sz="1200" b="0">
              <a:solidFill>
                <a:schemeClr val="dk1"/>
              </a:solidFill>
              <a:effectLst/>
              <a:latin typeface="+mn-lt"/>
              <a:ea typeface="+mn-ea"/>
              <a:cs typeface="+mn-cs"/>
            </a:rPr>
            <a:t>variável Tempo de acesso semanal é mais dispersa (mais espalhada) do que a Idade? O que isso su</a:t>
          </a:r>
          <a:r>
            <a:rPr lang="pt-BR" sz="1200">
              <a:solidFill>
                <a:schemeClr val="dk1"/>
              </a:solidFill>
              <a:effectLst/>
              <a:latin typeface="+mn-lt"/>
              <a:ea typeface="+mn-ea"/>
              <a:cs typeface="+mn-cs"/>
            </a:rPr>
            <a:t>gere sobre a homogeneidade ou heterogeneidade desse grupo em termos de idade e de tempo de acesso? O que mais podemos calcular para ajudar a responder essas perguntas?</a:t>
          </a:r>
        </a:p>
        <a:p>
          <a:r>
            <a:rPr lang="pt-BR" sz="1100">
              <a:solidFill>
                <a:schemeClr val="dk1"/>
              </a:solidFill>
              <a:effectLst/>
              <a:latin typeface="+mn-lt"/>
              <a:ea typeface="+mn-ea"/>
              <a:cs typeface="+mn-cs"/>
            </a:rPr>
            <a:t>R:  </a:t>
          </a:r>
          <a:r>
            <a:rPr lang="pt-BR" sz="1200">
              <a:solidFill>
                <a:schemeClr val="dk1"/>
              </a:solidFill>
              <a:effectLst/>
              <a:latin typeface="+mn-lt"/>
              <a:ea typeface="+mn-ea"/>
              <a:cs typeface="+mn-cs"/>
            </a:rPr>
            <a:t>Não,</a:t>
          </a:r>
          <a:r>
            <a:rPr lang="pt-BR" sz="1200" baseline="0">
              <a:solidFill>
                <a:schemeClr val="dk1"/>
              </a:solidFill>
              <a:effectLst/>
              <a:latin typeface="+mn-lt"/>
              <a:ea typeface="+mn-ea"/>
              <a:cs typeface="+mn-cs"/>
            </a:rPr>
            <a:t> a variável de idade é mais dispersa que a variável de tempo . No tempo de acesso isso significa que há mais numeros homogêneos comparado ao da idade que possui mais heterogêneos. Pode-se usar o Desvio Padrão e o Coeficiente De Variação para ajudar na resposta dessas perguntas.</a:t>
          </a:r>
          <a:endParaRPr lang="pt-BR" sz="1200">
            <a:solidFill>
              <a:schemeClr val="dk1"/>
            </a:solidFill>
            <a:effectLst/>
            <a:latin typeface="+mn-lt"/>
            <a:ea typeface="+mn-ea"/>
            <a:cs typeface="+mn-cs"/>
          </a:endParaRPr>
        </a:p>
        <a:p>
          <a:endParaRPr lang="pt-BR" sz="1100">
            <a:solidFill>
              <a:schemeClr val="dk1"/>
            </a:solidFill>
            <a:effectLst/>
            <a:latin typeface="+mn-lt"/>
            <a:ea typeface="+mn-ea"/>
            <a:cs typeface="+mn-cs"/>
          </a:endParaRPr>
        </a:p>
        <a:p>
          <a:pPr eaLnBrk="1" fontAlgn="auto" latinLnBrk="0" hangingPunct="1"/>
          <a:r>
            <a:rPr lang="pt-BR" sz="1200" b="1" baseline="0">
              <a:solidFill>
                <a:schemeClr val="dk1"/>
              </a:solidFill>
              <a:effectLst/>
              <a:latin typeface="+mn-lt"/>
              <a:ea typeface="+mn-ea"/>
              <a:cs typeface="+mn-cs"/>
            </a:rPr>
            <a:t>5) </a:t>
          </a:r>
          <a:r>
            <a:rPr lang="pt-BR" sz="1200" baseline="0">
              <a:solidFill>
                <a:schemeClr val="dk1"/>
              </a:solidFill>
              <a:effectLst/>
              <a:latin typeface="+mn-lt"/>
              <a:ea typeface="+mn-ea"/>
              <a:cs typeface="+mn-cs"/>
            </a:rPr>
            <a:t>Construa o gráfico de caixas (BoxPlot) para as variáveis quantitativas</a:t>
          </a:r>
          <a:r>
            <a:rPr lang="pt-BR" sz="1200" b="1" i="1">
              <a:solidFill>
                <a:schemeClr val="dk1"/>
              </a:solidFill>
              <a:effectLst/>
              <a:latin typeface="+mn-lt"/>
              <a:ea typeface="+mn-ea"/>
              <a:cs typeface="+mn-cs"/>
            </a:rPr>
            <a:t> </a:t>
          </a:r>
          <a:r>
            <a:rPr lang="pt-BR" sz="1200" baseline="0">
              <a:solidFill>
                <a:schemeClr val="dk1"/>
              </a:solidFill>
              <a:effectLst/>
              <a:latin typeface="+mn-lt"/>
              <a:ea typeface="+mn-ea"/>
              <a:cs typeface="+mn-cs"/>
            </a:rPr>
            <a:t> e identifique os quartis no gráfico. Verifique se existem outliers.  Utilize o escore z para fazer a análise desses valores. </a:t>
          </a:r>
        </a:p>
        <a:p>
          <a:pPr eaLnBrk="1" fontAlgn="auto" latinLnBrk="0" hangingPunct="1"/>
          <a:endParaRPr lang="pt-BR" sz="1200">
            <a:solidFill>
              <a:schemeClr val="dk1"/>
            </a:solidFill>
            <a:effectLst/>
            <a:latin typeface="+mn-lt"/>
            <a:ea typeface="+mn-ea"/>
            <a:cs typeface="+mn-cs"/>
          </a:endParaRPr>
        </a:p>
        <a:p>
          <a:pPr eaLnBrk="1" fontAlgn="auto" latinLnBrk="0" hangingPunct="1"/>
          <a:endParaRPr lang="pt-BR" sz="1200" b="0" i="0" baseline="0">
            <a:solidFill>
              <a:srgbClr val="FF0000"/>
            </a:solidFill>
            <a:effectLst/>
            <a:latin typeface="+mn-lt"/>
            <a:ea typeface="+mn-ea"/>
            <a:cs typeface="+mn-cs"/>
          </a:endParaRPr>
        </a:p>
        <a:p>
          <a:pPr eaLnBrk="1" fontAlgn="auto" latinLnBrk="0" hangingPunct="1"/>
          <a:endParaRPr lang="pt-BR" sz="1200" b="1">
            <a:effectLst/>
          </a:endParaRPr>
        </a:p>
        <a:p>
          <a:pPr algn="l"/>
          <a:endParaRPr lang="pt-BR" sz="1100" b="0" cap="none" spc="0">
            <a:ln w="0"/>
            <a:solidFill>
              <a:sysClr val="windowText" lastClr="000000"/>
            </a:solidFill>
            <a:effectLst>
              <a:outerShdw blurRad="38100" dist="19050" dir="2700000" algn="tl" rotWithShape="0">
                <a:schemeClr val="dk1">
                  <a:alpha val="40000"/>
                </a:schemeClr>
              </a:outerShdw>
            </a:effectLst>
          </a:endParaRPr>
        </a:p>
        <a:p>
          <a:pPr algn="l"/>
          <a:endParaRPr lang="pt-BR" sz="1100" b="0" cap="none" spc="0">
            <a:ln w="0"/>
            <a:solidFill>
              <a:sysClr val="windowText" lastClr="000000"/>
            </a:solidFill>
            <a:effectLst>
              <a:outerShdw blurRad="38100" dist="19050" dir="2700000" algn="tl" rotWithShape="0">
                <a:schemeClr val="dk1">
                  <a:alpha val="40000"/>
                </a:schemeClr>
              </a:outerShdw>
            </a:effectLst>
          </a:endParaRPr>
        </a:p>
      </xdr:txBody>
    </xdr:sp>
    <xdr:clientData/>
  </xdr:twoCellAnchor>
  <xdr:twoCellAnchor>
    <xdr:from>
      <xdr:col>3</xdr:col>
      <xdr:colOff>590742</xdr:colOff>
      <xdr:row>36</xdr:row>
      <xdr:rowOff>4235</xdr:rowOff>
    </xdr:from>
    <xdr:to>
      <xdr:col>7</xdr:col>
      <xdr:colOff>1150697</xdr:colOff>
      <xdr:row>52</xdr:row>
      <xdr:rowOff>130465</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E2E6285E-74EE-AFA4-CA3F-42DCC8BAEE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06892" y="6138335"/>
              <a:ext cx="4725555" cy="2666230"/>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twoCellAnchor>
    <xdr:from>
      <xdr:col>4</xdr:col>
      <xdr:colOff>32714</xdr:colOff>
      <xdr:row>53</xdr:row>
      <xdr:rowOff>100446</xdr:rowOff>
    </xdr:from>
    <xdr:to>
      <xdr:col>8</xdr:col>
      <xdr:colOff>25017</xdr:colOff>
      <xdr:row>70</xdr:row>
      <xdr:rowOff>63115</xdr:rowOff>
    </xdr:to>
    <mc:AlternateContent xmlns:mc="http://schemas.openxmlformats.org/markup-compatibility/2006">
      <mc:Choice xmlns:cx1="http://schemas.microsoft.com/office/drawing/2015/9/8/chartex" Requires="cx1">
        <xdr:graphicFrame macro="">
          <xdr:nvGraphicFramePr>
            <xdr:cNvPr id="5" name="Gráfico 4">
              <a:extLst>
                <a:ext uri="{FF2B5EF4-FFF2-40B4-BE49-F238E27FC236}">
                  <a16:creationId xmlns:a16="http://schemas.microsoft.com/office/drawing/2014/main" id="{42BE4C25-F5FA-0401-8025-408B9F01C8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858464" y="8933296"/>
              <a:ext cx="4773853" cy="2661419"/>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uno" refreshedDate="46140.454993402775" createdVersion="8" refreshedVersion="8" minRefreshableVersion="3" recordCount="30" xr:uid="{B235685E-DD04-4CBC-9784-2F4DB20E8FE9}">
  <cacheSource type="worksheet">
    <worksheetSource ref="A1:C31" sheet="Amostra"/>
  </cacheSource>
  <cacheFields count="3">
    <cacheField name="Sexo" numFmtId="0">
      <sharedItems count="2">
        <s v="M"/>
        <s v="F"/>
      </sharedItems>
    </cacheField>
    <cacheField name="Idade" numFmtId="0">
      <sharedItems containsSemiMixedTypes="0" containsString="0" containsNumber="1" containsInteger="1" minValue="12" maxValue="40"/>
    </cacheField>
    <cacheField name="Tempo de acesso semanal" numFmtId="0">
      <sharedItems containsSemiMixedTypes="0" containsString="0" containsNumber="1" containsInteger="1" minValue="20" maxValue="6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uno" refreshedDate="46140.459224074075" createdVersion="8" refreshedVersion="8" minRefreshableVersion="3" recordCount="30" xr:uid="{3AC17151-E307-4F5B-BFAD-BAD874A42D4C}">
  <cacheSource type="worksheet">
    <worksheetSource ref="A1:C31" sheet="Amostra"/>
  </cacheSource>
  <cacheFields count="3">
    <cacheField name="Sexo" numFmtId="0">
      <sharedItems count="2">
        <s v="M"/>
        <s v="F"/>
      </sharedItems>
    </cacheField>
    <cacheField name="Idade" numFmtId="0">
      <sharedItems containsSemiMixedTypes="0" containsString="0" containsNumber="1" containsInteger="1" minValue="12" maxValue="40" count="19">
        <n v="12"/>
        <n v="13"/>
        <n v="14"/>
        <n v="15"/>
        <n v="16"/>
        <n v="17"/>
        <n v="18"/>
        <n v="19"/>
        <n v="20"/>
        <n v="21"/>
        <n v="22"/>
        <n v="23"/>
        <n v="25"/>
        <n v="30"/>
        <n v="32"/>
        <n v="33"/>
        <n v="35"/>
        <n v="38"/>
        <n v="40"/>
      </sharedItems>
      <fieldGroup base="1">
        <rangePr startNum="12" endNum="40" groupInterval="3"/>
        <groupItems count="12">
          <s v="&lt;12"/>
          <s v="12-14"/>
          <s v="15-17"/>
          <s v="18-20"/>
          <s v="21-23"/>
          <s v="24-26"/>
          <s v="27-29"/>
          <s v="30-32"/>
          <s v="33-35"/>
          <s v="36-38"/>
          <s v="39-41"/>
          <s v="&gt;42"/>
        </groupItems>
      </fieldGroup>
    </cacheField>
    <cacheField name="Tempo de acesso semanal" numFmtId="0">
      <sharedItems containsSemiMixedTypes="0" containsString="0" containsNumber="1" containsInteger="1" minValue="20" maxValue="6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uno" refreshedDate="46140.460743750002" createdVersion="8" refreshedVersion="8" minRefreshableVersion="3" recordCount="30" xr:uid="{3106EB17-6AC8-483C-9103-1B3298203BAC}">
  <cacheSource type="worksheet">
    <worksheetSource ref="A1:C31" sheet="Amostra"/>
  </cacheSource>
  <cacheFields count="3">
    <cacheField name="Sexo" numFmtId="0">
      <sharedItems count="2">
        <s v="M"/>
        <s v="F"/>
      </sharedItems>
    </cacheField>
    <cacheField name="Idade" numFmtId="0">
      <sharedItems containsSemiMixedTypes="0" containsString="0" containsNumber="1" containsInteger="1" minValue="12" maxValue="40"/>
    </cacheField>
    <cacheField name="Tempo de acesso semanal" numFmtId="0">
      <sharedItems containsSemiMixedTypes="0" containsString="0" containsNumber="1" containsInteger="1" minValue="20" maxValue="60" count="17">
        <n v="20"/>
        <n v="21"/>
        <n v="22"/>
        <n v="24"/>
        <n v="25"/>
        <n v="26"/>
        <n v="27"/>
        <n v="30"/>
        <n v="32"/>
        <n v="35"/>
        <n v="34"/>
        <n v="38"/>
        <n v="40"/>
        <n v="44"/>
        <n v="36"/>
        <n v="48"/>
        <n v="60"/>
      </sharedItems>
      <fieldGroup base="2">
        <rangePr startNum="20" endNum="60" groupInterval="3"/>
        <groupItems count="16">
          <s v="&lt;20"/>
          <s v="20-22"/>
          <s v="23-25"/>
          <s v="26-28"/>
          <s v="29-31"/>
          <s v="32-34"/>
          <s v="35-37"/>
          <s v="38-40"/>
          <s v="41-43"/>
          <s v="44-46"/>
          <s v="47-49"/>
          <s v="50-52"/>
          <s v="53-55"/>
          <s v="56-58"/>
          <s v="59-61"/>
          <s v="&gt;62"/>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uno" refreshedDate="46141.429944097225" createdVersion="8" refreshedVersion="8" minRefreshableVersion="3" recordCount="30" xr:uid="{BECB0B53-3CED-494F-BA1F-51E678EFECD9}">
  <cacheSource type="worksheet">
    <worksheetSource ref="A1:C31" sheet="Amostra"/>
  </cacheSource>
  <cacheFields count="3">
    <cacheField name="Sexo" numFmtId="0">
      <sharedItems count="2">
        <s v="M"/>
        <s v="F"/>
      </sharedItems>
    </cacheField>
    <cacheField name="Idade" numFmtId="0">
      <sharedItems containsSemiMixedTypes="0" containsString="0" containsNumber="1" containsInteger="1" minValue="12" maxValue="40"/>
    </cacheField>
    <cacheField name="Tempo de acesso semanal" numFmtId="0">
      <sharedItems containsSemiMixedTypes="0" containsString="0" containsNumber="1" containsInteger="1" minValue="20" maxValue="60" count="17">
        <n v="20"/>
        <n v="21"/>
        <n v="22"/>
        <n v="24"/>
        <n v="25"/>
        <n v="26"/>
        <n v="27"/>
        <n v="30"/>
        <n v="32"/>
        <n v="35"/>
        <n v="34"/>
        <n v="38"/>
        <n v="40"/>
        <n v="44"/>
        <n v="36"/>
        <n v="48"/>
        <n v="60"/>
      </sharedItems>
      <fieldGroup base="2">
        <rangePr startNum="20" endNum="60" groupInterval="5"/>
        <groupItems count="10">
          <s v="&lt;20"/>
          <s v="20-24"/>
          <s v="25-29"/>
          <s v="30-34"/>
          <s v="35-39"/>
          <s v="40-44"/>
          <s v="45-49"/>
          <s v="50-54"/>
          <s v="55-60"/>
          <s v="&gt;60"/>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uno" refreshedDate="46141.439699537033" createdVersion="8" refreshedVersion="8" minRefreshableVersion="3" recordCount="30" xr:uid="{F09545F1-9666-42B6-86B6-041F76212B2C}">
  <cacheSource type="worksheet">
    <worksheetSource ref="A1:C31" sheet="Amostra"/>
  </cacheSource>
  <cacheFields count="3">
    <cacheField name="Sexo" numFmtId="0">
      <sharedItems count="2">
        <s v="M"/>
        <s v="F"/>
      </sharedItems>
    </cacheField>
    <cacheField name="Idade" numFmtId="0">
      <sharedItems containsSemiMixedTypes="0" containsString="0" containsNumber="1" containsInteger="1" minValue="12" maxValue="40" count="19">
        <n v="12"/>
        <n v="13"/>
        <n v="14"/>
        <n v="15"/>
        <n v="16"/>
        <n v="17"/>
        <n v="18"/>
        <n v="19"/>
        <n v="20"/>
        <n v="21"/>
        <n v="22"/>
        <n v="23"/>
        <n v="25"/>
        <n v="30"/>
        <n v="32"/>
        <n v="33"/>
        <n v="35"/>
        <n v="38"/>
        <n v="40"/>
      </sharedItems>
    </cacheField>
    <cacheField name="Tempo de acesso semanal" numFmtId="0">
      <sharedItems containsSemiMixedTypes="0" containsString="0" containsNumber="1" containsInteger="1" minValue="20" maxValue="60" count="17">
        <n v="20"/>
        <n v="21"/>
        <n v="22"/>
        <n v="24"/>
        <n v="25"/>
        <n v="26"/>
        <n v="27"/>
        <n v="30"/>
        <n v="32"/>
        <n v="35"/>
        <n v="34"/>
        <n v="38"/>
        <n v="40"/>
        <n v="44"/>
        <n v="36"/>
        <n v="48"/>
        <n v="60"/>
      </sharedItems>
      <fieldGroup base="2">
        <rangePr startNum="20" endNum="60" groupInterval="5"/>
        <groupItems count="10">
          <s v="&lt;20"/>
          <s v="20-24"/>
          <s v="25-29"/>
          <s v="30-34"/>
          <s v="35-39"/>
          <s v="40-44"/>
          <s v="45-49"/>
          <s v="50-54"/>
          <s v="55-60"/>
          <s v="&gt;60"/>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uno" refreshedDate="46141.445341435188" createdVersion="8" refreshedVersion="8" minRefreshableVersion="3" recordCount="30" xr:uid="{C3111EFD-EE47-4D42-827E-D2EC71AA15ED}">
  <cacheSource type="worksheet">
    <worksheetSource ref="A1:C31" sheet="Amostra"/>
  </cacheSource>
  <cacheFields count="3">
    <cacheField name="Sexo" numFmtId="0">
      <sharedItems count="2">
        <s v="M"/>
        <s v="F"/>
      </sharedItems>
    </cacheField>
    <cacheField name="Idade" numFmtId="0">
      <sharedItems containsSemiMixedTypes="0" containsString="0" containsNumber="1" containsInteger="1" minValue="12" maxValue="40" count="19">
        <n v="12"/>
        <n v="13"/>
        <n v="14"/>
        <n v="15"/>
        <n v="16"/>
        <n v="17"/>
        <n v="18"/>
        <n v="19"/>
        <n v="20"/>
        <n v="21"/>
        <n v="22"/>
        <n v="23"/>
        <n v="25"/>
        <n v="30"/>
        <n v="32"/>
        <n v="33"/>
        <n v="35"/>
        <n v="38"/>
        <n v="40"/>
      </sharedItems>
      <fieldGroup base="1">
        <rangePr startNum="12" endNum="40" groupInterval="5"/>
        <groupItems count="8">
          <s v="&lt;12"/>
          <s v="12-16"/>
          <s v="17-21"/>
          <s v="22-26"/>
          <s v="27-31"/>
          <s v="32-36"/>
          <s v="37-41"/>
          <s v="&gt;42"/>
        </groupItems>
      </fieldGroup>
    </cacheField>
    <cacheField name="Tempo de acesso semanal" numFmtId="0">
      <sharedItems containsSemiMixedTypes="0" containsString="0" containsNumber="1" containsInteger="1" minValue="20" maxValue="60" count="17">
        <n v="20"/>
        <n v="21"/>
        <n v="22"/>
        <n v="24"/>
        <n v="25"/>
        <n v="26"/>
        <n v="27"/>
        <n v="30"/>
        <n v="32"/>
        <n v="35"/>
        <n v="34"/>
        <n v="38"/>
        <n v="40"/>
        <n v="44"/>
        <n v="36"/>
        <n v="48"/>
        <n v="60"/>
      </sharedItems>
      <fieldGroup base="2">
        <rangePr startNum="20" endNum="60" groupInterval="5"/>
        <groupItems count="10">
          <s v="&lt;20"/>
          <s v="20-24"/>
          <s v="25-29"/>
          <s v="30-34"/>
          <s v="35-39"/>
          <s v="40-44"/>
          <s v="45-49"/>
          <s v="50-54"/>
          <s v="55-60"/>
          <s v="&gt;6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n v="12"/>
    <n v="20"/>
  </r>
  <r>
    <x v="1"/>
    <n v="13"/>
    <n v="20"/>
  </r>
  <r>
    <x v="0"/>
    <n v="13"/>
    <n v="21"/>
  </r>
  <r>
    <x v="1"/>
    <n v="13"/>
    <n v="22"/>
  </r>
  <r>
    <x v="1"/>
    <n v="14"/>
    <n v="24"/>
  </r>
  <r>
    <x v="1"/>
    <n v="15"/>
    <n v="25"/>
  </r>
  <r>
    <x v="0"/>
    <n v="16"/>
    <n v="26"/>
  </r>
  <r>
    <x v="0"/>
    <n v="15"/>
    <n v="27"/>
  </r>
  <r>
    <x v="0"/>
    <n v="17"/>
    <n v="27"/>
  </r>
  <r>
    <x v="0"/>
    <n v="18"/>
    <n v="30"/>
  </r>
  <r>
    <x v="1"/>
    <n v="18"/>
    <n v="30"/>
  </r>
  <r>
    <x v="0"/>
    <n v="19"/>
    <n v="30"/>
  </r>
  <r>
    <x v="0"/>
    <n v="20"/>
    <n v="30"/>
  </r>
  <r>
    <x v="0"/>
    <n v="20"/>
    <n v="32"/>
  </r>
  <r>
    <x v="1"/>
    <n v="20"/>
    <n v="35"/>
  </r>
  <r>
    <x v="0"/>
    <n v="21"/>
    <n v="34"/>
  </r>
  <r>
    <x v="0"/>
    <n v="22"/>
    <n v="30"/>
  </r>
  <r>
    <x v="1"/>
    <n v="22"/>
    <n v="30"/>
  </r>
  <r>
    <x v="1"/>
    <n v="23"/>
    <n v="38"/>
  </r>
  <r>
    <x v="0"/>
    <n v="25"/>
    <n v="40"/>
  </r>
  <r>
    <x v="0"/>
    <n v="30"/>
    <n v="40"/>
  </r>
  <r>
    <x v="0"/>
    <n v="32"/>
    <n v="40"/>
  </r>
  <r>
    <x v="1"/>
    <n v="32"/>
    <n v="44"/>
  </r>
  <r>
    <x v="1"/>
    <n v="33"/>
    <n v="36"/>
  </r>
  <r>
    <x v="0"/>
    <n v="33"/>
    <n v="38"/>
  </r>
  <r>
    <x v="1"/>
    <n v="33"/>
    <n v="30"/>
  </r>
  <r>
    <x v="1"/>
    <n v="35"/>
    <n v="44"/>
  </r>
  <r>
    <x v="0"/>
    <n v="38"/>
    <n v="48"/>
  </r>
  <r>
    <x v="1"/>
    <n v="38"/>
    <n v="40"/>
  </r>
  <r>
    <x v="0"/>
    <n v="40"/>
    <n v="6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20"/>
  </r>
  <r>
    <x v="1"/>
    <x v="1"/>
    <n v="20"/>
  </r>
  <r>
    <x v="0"/>
    <x v="1"/>
    <n v="21"/>
  </r>
  <r>
    <x v="1"/>
    <x v="1"/>
    <n v="22"/>
  </r>
  <r>
    <x v="1"/>
    <x v="2"/>
    <n v="24"/>
  </r>
  <r>
    <x v="1"/>
    <x v="3"/>
    <n v="25"/>
  </r>
  <r>
    <x v="0"/>
    <x v="4"/>
    <n v="26"/>
  </r>
  <r>
    <x v="0"/>
    <x v="3"/>
    <n v="27"/>
  </r>
  <r>
    <x v="0"/>
    <x v="5"/>
    <n v="27"/>
  </r>
  <r>
    <x v="0"/>
    <x v="6"/>
    <n v="30"/>
  </r>
  <r>
    <x v="1"/>
    <x v="6"/>
    <n v="30"/>
  </r>
  <r>
    <x v="0"/>
    <x v="7"/>
    <n v="30"/>
  </r>
  <r>
    <x v="0"/>
    <x v="8"/>
    <n v="30"/>
  </r>
  <r>
    <x v="0"/>
    <x v="8"/>
    <n v="32"/>
  </r>
  <r>
    <x v="1"/>
    <x v="8"/>
    <n v="35"/>
  </r>
  <r>
    <x v="0"/>
    <x v="9"/>
    <n v="34"/>
  </r>
  <r>
    <x v="0"/>
    <x v="10"/>
    <n v="30"/>
  </r>
  <r>
    <x v="1"/>
    <x v="10"/>
    <n v="30"/>
  </r>
  <r>
    <x v="1"/>
    <x v="11"/>
    <n v="38"/>
  </r>
  <r>
    <x v="0"/>
    <x v="12"/>
    <n v="40"/>
  </r>
  <r>
    <x v="0"/>
    <x v="13"/>
    <n v="40"/>
  </r>
  <r>
    <x v="0"/>
    <x v="14"/>
    <n v="40"/>
  </r>
  <r>
    <x v="1"/>
    <x v="14"/>
    <n v="44"/>
  </r>
  <r>
    <x v="1"/>
    <x v="15"/>
    <n v="36"/>
  </r>
  <r>
    <x v="0"/>
    <x v="15"/>
    <n v="38"/>
  </r>
  <r>
    <x v="1"/>
    <x v="15"/>
    <n v="30"/>
  </r>
  <r>
    <x v="1"/>
    <x v="16"/>
    <n v="44"/>
  </r>
  <r>
    <x v="0"/>
    <x v="17"/>
    <n v="48"/>
  </r>
  <r>
    <x v="1"/>
    <x v="17"/>
    <n v="40"/>
  </r>
  <r>
    <x v="0"/>
    <x v="18"/>
    <n v="6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n v="12"/>
    <x v="0"/>
  </r>
  <r>
    <x v="1"/>
    <n v="13"/>
    <x v="0"/>
  </r>
  <r>
    <x v="0"/>
    <n v="13"/>
    <x v="1"/>
  </r>
  <r>
    <x v="1"/>
    <n v="13"/>
    <x v="2"/>
  </r>
  <r>
    <x v="1"/>
    <n v="14"/>
    <x v="3"/>
  </r>
  <r>
    <x v="1"/>
    <n v="15"/>
    <x v="4"/>
  </r>
  <r>
    <x v="0"/>
    <n v="16"/>
    <x v="5"/>
  </r>
  <r>
    <x v="0"/>
    <n v="15"/>
    <x v="6"/>
  </r>
  <r>
    <x v="0"/>
    <n v="17"/>
    <x v="6"/>
  </r>
  <r>
    <x v="0"/>
    <n v="18"/>
    <x v="7"/>
  </r>
  <r>
    <x v="1"/>
    <n v="18"/>
    <x v="7"/>
  </r>
  <r>
    <x v="0"/>
    <n v="19"/>
    <x v="7"/>
  </r>
  <r>
    <x v="0"/>
    <n v="20"/>
    <x v="7"/>
  </r>
  <r>
    <x v="0"/>
    <n v="20"/>
    <x v="8"/>
  </r>
  <r>
    <x v="1"/>
    <n v="20"/>
    <x v="9"/>
  </r>
  <r>
    <x v="0"/>
    <n v="21"/>
    <x v="10"/>
  </r>
  <r>
    <x v="0"/>
    <n v="22"/>
    <x v="7"/>
  </r>
  <r>
    <x v="1"/>
    <n v="22"/>
    <x v="7"/>
  </r>
  <r>
    <x v="1"/>
    <n v="23"/>
    <x v="11"/>
  </r>
  <r>
    <x v="0"/>
    <n v="25"/>
    <x v="12"/>
  </r>
  <r>
    <x v="0"/>
    <n v="30"/>
    <x v="12"/>
  </r>
  <r>
    <x v="0"/>
    <n v="32"/>
    <x v="12"/>
  </r>
  <r>
    <x v="1"/>
    <n v="32"/>
    <x v="13"/>
  </r>
  <r>
    <x v="1"/>
    <n v="33"/>
    <x v="14"/>
  </r>
  <r>
    <x v="0"/>
    <n v="33"/>
    <x v="11"/>
  </r>
  <r>
    <x v="1"/>
    <n v="33"/>
    <x v="7"/>
  </r>
  <r>
    <x v="1"/>
    <n v="35"/>
    <x v="13"/>
  </r>
  <r>
    <x v="0"/>
    <n v="38"/>
    <x v="15"/>
  </r>
  <r>
    <x v="1"/>
    <n v="38"/>
    <x v="12"/>
  </r>
  <r>
    <x v="0"/>
    <n v="40"/>
    <x v="1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n v="12"/>
    <x v="0"/>
  </r>
  <r>
    <x v="1"/>
    <n v="13"/>
    <x v="0"/>
  </r>
  <r>
    <x v="0"/>
    <n v="13"/>
    <x v="1"/>
  </r>
  <r>
    <x v="1"/>
    <n v="13"/>
    <x v="2"/>
  </r>
  <r>
    <x v="1"/>
    <n v="14"/>
    <x v="3"/>
  </r>
  <r>
    <x v="1"/>
    <n v="15"/>
    <x v="4"/>
  </r>
  <r>
    <x v="0"/>
    <n v="16"/>
    <x v="5"/>
  </r>
  <r>
    <x v="0"/>
    <n v="15"/>
    <x v="6"/>
  </r>
  <r>
    <x v="0"/>
    <n v="17"/>
    <x v="6"/>
  </r>
  <r>
    <x v="0"/>
    <n v="18"/>
    <x v="7"/>
  </r>
  <r>
    <x v="1"/>
    <n v="18"/>
    <x v="7"/>
  </r>
  <r>
    <x v="0"/>
    <n v="19"/>
    <x v="7"/>
  </r>
  <r>
    <x v="0"/>
    <n v="20"/>
    <x v="7"/>
  </r>
  <r>
    <x v="0"/>
    <n v="20"/>
    <x v="8"/>
  </r>
  <r>
    <x v="1"/>
    <n v="20"/>
    <x v="9"/>
  </r>
  <r>
    <x v="0"/>
    <n v="21"/>
    <x v="10"/>
  </r>
  <r>
    <x v="0"/>
    <n v="22"/>
    <x v="7"/>
  </r>
  <r>
    <x v="1"/>
    <n v="22"/>
    <x v="7"/>
  </r>
  <r>
    <x v="1"/>
    <n v="23"/>
    <x v="11"/>
  </r>
  <r>
    <x v="0"/>
    <n v="25"/>
    <x v="12"/>
  </r>
  <r>
    <x v="0"/>
    <n v="30"/>
    <x v="12"/>
  </r>
  <r>
    <x v="0"/>
    <n v="32"/>
    <x v="12"/>
  </r>
  <r>
    <x v="1"/>
    <n v="32"/>
    <x v="13"/>
  </r>
  <r>
    <x v="1"/>
    <n v="33"/>
    <x v="14"/>
  </r>
  <r>
    <x v="0"/>
    <n v="33"/>
    <x v="11"/>
  </r>
  <r>
    <x v="1"/>
    <n v="33"/>
    <x v="7"/>
  </r>
  <r>
    <x v="1"/>
    <n v="35"/>
    <x v="13"/>
  </r>
  <r>
    <x v="0"/>
    <n v="38"/>
    <x v="15"/>
  </r>
  <r>
    <x v="1"/>
    <n v="38"/>
    <x v="12"/>
  </r>
  <r>
    <x v="0"/>
    <n v="40"/>
    <x v="1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r>
  <r>
    <x v="1"/>
    <x v="1"/>
    <x v="0"/>
  </r>
  <r>
    <x v="0"/>
    <x v="1"/>
    <x v="1"/>
  </r>
  <r>
    <x v="1"/>
    <x v="1"/>
    <x v="2"/>
  </r>
  <r>
    <x v="1"/>
    <x v="2"/>
    <x v="3"/>
  </r>
  <r>
    <x v="1"/>
    <x v="3"/>
    <x v="4"/>
  </r>
  <r>
    <x v="0"/>
    <x v="4"/>
    <x v="5"/>
  </r>
  <r>
    <x v="0"/>
    <x v="3"/>
    <x v="6"/>
  </r>
  <r>
    <x v="0"/>
    <x v="5"/>
    <x v="6"/>
  </r>
  <r>
    <x v="0"/>
    <x v="6"/>
    <x v="7"/>
  </r>
  <r>
    <x v="1"/>
    <x v="6"/>
    <x v="7"/>
  </r>
  <r>
    <x v="0"/>
    <x v="7"/>
    <x v="7"/>
  </r>
  <r>
    <x v="0"/>
    <x v="8"/>
    <x v="7"/>
  </r>
  <r>
    <x v="0"/>
    <x v="8"/>
    <x v="8"/>
  </r>
  <r>
    <x v="1"/>
    <x v="8"/>
    <x v="9"/>
  </r>
  <r>
    <x v="0"/>
    <x v="9"/>
    <x v="10"/>
  </r>
  <r>
    <x v="0"/>
    <x v="10"/>
    <x v="7"/>
  </r>
  <r>
    <x v="1"/>
    <x v="10"/>
    <x v="7"/>
  </r>
  <r>
    <x v="1"/>
    <x v="11"/>
    <x v="11"/>
  </r>
  <r>
    <x v="0"/>
    <x v="12"/>
    <x v="12"/>
  </r>
  <r>
    <x v="0"/>
    <x v="13"/>
    <x v="12"/>
  </r>
  <r>
    <x v="0"/>
    <x v="14"/>
    <x v="12"/>
  </r>
  <r>
    <x v="1"/>
    <x v="14"/>
    <x v="13"/>
  </r>
  <r>
    <x v="1"/>
    <x v="15"/>
    <x v="14"/>
  </r>
  <r>
    <x v="0"/>
    <x v="15"/>
    <x v="11"/>
  </r>
  <r>
    <x v="1"/>
    <x v="15"/>
    <x v="7"/>
  </r>
  <r>
    <x v="1"/>
    <x v="16"/>
    <x v="13"/>
  </r>
  <r>
    <x v="0"/>
    <x v="17"/>
    <x v="15"/>
  </r>
  <r>
    <x v="1"/>
    <x v="17"/>
    <x v="12"/>
  </r>
  <r>
    <x v="0"/>
    <x v="18"/>
    <x v="16"/>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r>
  <r>
    <x v="1"/>
    <x v="1"/>
    <x v="0"/>
  </r>
  <r>
    <x v="0"/>
    <x v="1"/>
    <x v="1"/>
  </r>
  <r>
    <x v="1"/>
    <x v="1"/>
    <x v="2"/>
  </r>
  <r>
    <x v="1"/>
    <x v="2"/>
    <x v="3"/>
  </r>
  <r>
    <x v="1"/>
    <x v="3"/>
    <x v="4"/>
  </r>
  <r>
    <x v="0"/>
    <x v="4"/>
    <x v="5"/>
  </r>
  <r>
    <x v="0"/>
    <x v="3"/>
    <x v="6"/>
  </r>
  <r>
    <x v="0"/>
    <x v="5"/>
    <x v="6"/>
  </r>
  <r>
    <x v="0"/>
    <x v="6"/>
    <x v="7"/>
  </r>
  <r>
    <x v="1"/>
    <x v="6"/>
    <x v="7"/>
  </r>
  <r>
    <x v="0"/>
    <x v="7"/>
    <x v="7"/>
  </r>
  <r>
    <x v="0"/>
    <x v="8"/>
    <x v="7"/>
  </r>
  <r>
    <x v="0"/>
    <x v="8"/>
    <x v="8"/>
  </r>
  <r>
    <x v="1"/>
    <x v="8"/>
    <x v="9"/>
  </r>
  <r>
    <x v="0"/>
    <x v="9"/>
    <x v="10"/>
  </r>
  <r>
    <x v="0"/>
    <x v="10"/>
    <x v="7"/>
  </r>
  <r>
    <x v="1"/>
    <x v="10"/>
    <x v="7"/>
  </r>
  <r>
    <x v="1"/>
    <x v="11"/>
    <x v="11"/>
  </r>
  <r>
    <x v="0"/>
    <x v="12"/>
    <x v="12"/>
  </r>
  <r>
    <x v="0"/>
    <x v="13"/>
    <x v="12"/>
  </r>
  <r>
    <x v="0"/>
    <x v="14"/>
    <x v="12"/>
  </r>
  <r>
    <x v="1"/>
    <x v="14"/>
    <x v="13"/>
  </r>
  <r>
    <x v="1"/>
    <x v="15"/>
    <x v="14"/>
  </r>
  <r>
    <x v="0"/>
    <x v="15"/>
    <x v="11"/>
  </r>
  <r>
    <x v="1"/>
    <x v="15"/>
    <x v="7"/>
  </r>
  <r>
    <x v="1"/>
    <x v="16"/>
    <x v="13"/>
  </r>
  <r>
    <x v="0"/>
    <x v="17"/>
    <x v="15"/>
  </r>
  <r>
    <x v="1"/>
    <x v="17"/>
    <x v="12"/>
  </r>
  <r>
    <x v="0"/>
    <x v="18"/>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DB2F7D-7163-405E-9E66-F9DDA2FE6CDB}" name="Tabela dinâ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Sexo">
  <location ref="A3:D6" firstHeaderRow="0" firstDataRow="1" firstDataCol="1"/>
  <pivotFields count="3">
    <pivotField axis="axisRow" dataField="1" showAll="0">
      <items count="3">
        <item x="1"/>
        <item x="0"/>
        <item t="default"/>
      </items>
    </pivotField>
    <pivotField showAll="0"/>
    <pivotField showAll="0"/>
  </pivotFields>
  <rowFields count="1">
    <field x="0"/>
  </rowFields>
  <rowItems count="3">
    <i>
      <x/>
    </i>
    <i>
      <x v="1"/>
    </i>
    <i t="grand">
      <x/>
    </i>
  </rowItems>
  <colFields count="1">
    <field x="-2"/>
  </colFields>
  <colItems count="3">
    <i>
      <x/>
    </i>
    <i i="1">
      <x v="1"/>
    </i>
    <i i="2">
      <x v="2"/>
    </i>
  </colItems>
  <dataFields count="3">
    <dataField name="fi" fld="0" subtotal="count" baseField="0" baseItem="0"/>
    <dataField name="%" fld="0" subtotal="count" showDataAs="percentOfTotal" baseField="0" baseItem="0" numFmtId="10"/>
    <dataField name="fac" fld="0" subtotal="count" showDataAs="runTotal" baseField="0" baseItem="0"/>
  </dataFields>
  <formats count="14">
    <format dxfId="91">
      <pivotArea type="all" dataOnly="0" outline="0" fieldPosition="0"/>
    </format>
    <format dxfId="90">
      <pivotArea outline="0" fieldPosition="0">
        <references count="1">
          <reference field="4294967294" count="1">
            <x v="1"/>
          </reference>
        </references>
      </pivotArea>
    </format>
    <format dxfId="89">
      <pivotArea type="all" dataOnly="0" outline="0" fieldPosition="0"/>
    </format>
    <format dxfId="88">
      <pivotArea outline="0" collapsedLevelsAreSubtotals="1" fieldPosition="0"/>
    </format>
    <format dxfId="87">
      <pivotArea field="0" type="button" dataOnly="0" labelOnly="1" outline="0" axis="axisRow" fieldPosition="0"/>
    </format>
    <format dxfId="86">
      <pivotArea dataOnly="0" labelOnly="1" fieldPosition="0">
        <references count="1">
          <reference field="0" count="0"/>
        </references>
      </pivotArea>
    </format>
    <format dxfId="85">
      <pivotArea dataOnly="0" labelOnly="1" grandRow="1" outline="0" fieldPosition="0"/>
    </format>
    <format dxfId="84">
      <pivotArea dataOnly="0" labelOnly="1" outline="0" fieldPosition="0">
        <references count="1">
          <reference field="4294967294" count="3">
            <x v="0"/>
            <x v="1"/>
            <x v="2"/>
          </reference>
        </references>
      </pivotArea>
    </format>
    <format dxfId="83">
      <pivotArea type="all" dataOnly="0" outline="0" fieldPosition="0"/>
    </format>
    <format dxfId="82">
      <pivotArea outline="0" collapsedLevelsAreSubtotals="1" fieldPosition="0"/>
    </format>
    <format dxfId="81">
      <pivotArea field="0" type="button" dataOnly="0" labelOnly="1" outline="0" axis="axisRow" fieldPosition="0"/>
    </format>
    <format dxfId="80">
      <pivotArea dataOnly="0" labelOnly="1" fieldPosition="0">
        <references count="1">
          <reference field="0" count="0"/>
        </references>
      </pivotArea>
    </format>
    <format dxfId="79">
      <pivotArea dataOnly="0" labelOnly="1" grandRow="1" outline="0" fieldPosition="0"/>
    </format>
    <format dxfId="7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FB4F66-6C34-4ECE-87A4-EDF2E5329E65}" name="Tabela dinâmica4"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Idade">
  <location ref="A3:D13" firstHeaderRow="0" firstDataRow="1" firstDataCol="1"/>
  <pivotFields count="3">
    <pivotField showAll="0">
      <items count="3">
        <item x="1"/>
        <item x="0"/>
        <item t="default"/>
      </items>
    </pivotField>
    <pivotField axis="axisRow" dataField="1" showAll="0">
      <items count="13">
        <item x="0"/>
        <item x="1"/>
        <item x="2"/>
        <item x="3"/>
        <item x="4"/>
        <item x="5"/>
        <item x="6"/>
        <item x="7"/>
        <item x="8"/>
        <item x="9"/>
        <item x="10"/>
        <item x="11"/>
        <item t="default"/>
      </items>
    </pivotField>
    <pivotField showAll="0"/>
  </pivotFields>
  <rowFields count="1">
    <field x="1"/>
  </rowFields>
  <rowItems count="10">
    <i>
      <x v="1"/>
    </i>
    <i>
      <x v="2"/>
    </i>
    <i>
      <x v="3"/>
    </i>
    <i>
      <x v="4"/>
    </i>
    <i>
      <x v="5"/>
    </i>
    <i>
      <x v="7"/>
    </i>
    <i>
      <x v="8"/>
    </i>
    <i>
      <x v="9"/>
    </i>
    <i>
      <x v="10"/>
    </i>
    <i t="grand">
      <x/>
    </i>
  </rowItems>
  <colFields count="1">
    <field x="-2"/>
  </colFields>
  <colItems count="3">
    <i>
      <x/>
    </i>
    <i i="1">
      <x v="1"/>
    </i>
    <i i="2">
      <x v="2"/>
    </i>
  </colItems>
  <dataFields count="3">
    <dataField name="fi" fld="1" subtotal="count" baseField="1" baseItem="0"/>
    <dataField name="%" fld="1" subtotal="count" showDataAs="percentOfTotal" baseField="1" baseItem="1" numFmtId="10"/>
    <dataField name="fac" fld="1" subtotal="count" showDataAs="runTotal" baseField="1" baseItem="1"/>
  </dataFields>
  <formats count="13">
    <format dxfId="77">
      <pivotArea type="all" dataOnly="0" outline="0" fieldPosition="0"/>
    </format>
    <format dxfId="76">
      <pivotArea type="all" dataOnly="0" outline="0" fieldPosition="0"/>
    </format>
    <format dxfId="75">
      <pivotArea outline="0" collapsedLevelsAreSubtotals="1" fieldPosition="0"/>
    </format>
    <format dxfId="74">
      <pivotArea field="1" type="button" dataOnly="0" labelOnly="1" outline="0" axis="axisRow" fieldPosition="0"/>
    </format>
    <format dxfId="73">
      <pivotArea dataOnly="0" labelOnly="1" grandRow="1" outline="0" fieldPosition="0"/>
    </format>
    <format dxfId="72">
      <pivotArea dataOnly="0" labelOnly="1" outline="0" fieldPosition="0">
        <references count="1">
          <reference field="4294967294" count="3">
            <x v="0"/>
            <x v="1"/>
            <x v="2"/>
          </reference>
        </references>
      </pivotArea>
    </format>
    <format dxfId="71">
      <pivotArea outline="0" fieldPosition="0">
        <references count="1">
          <reference field="4294967294" count="1">
            <x v="1"/>
          </reference>
        </references>
      </pivotArea>
    </format>
    <format dxfId="70">
      <pivotArea type="all" dataOnly="0" outline="0" fieldPosition="0"/>
    </format>
    <format dxfId="69">
      <pivotArea outline="0" collapsedLevelsAreSubtotals="1" fieldPosition="0"/>
    </format>
    <format dxfId="68">
      <pivotArea field="1" type="button" dataOnly="0" labelOnly="1" outline="0" axis="axisRow" fieldPosition="0"/>
    </format>
    <format dxfId="67">
      <pivotArea dataOnly="0" labelOnly="1" fieldPosition="0">
        <references count="1">
          <reference field="1" count="9">
            <x v="1"/>
            <x v="2"/>
            <x v="3"/>
            <x v="4"/>
            <x v="5"/>
            <x v="7"/>
            <x v="8"/>
            <x v="9"/>
            <x v="10"/>
          </reference>
        </references>
      </pivotArea>
    </format>
    <format dxfId="66">
      <pivotArea dataOnly="0" labelOnly="1" grandRow="1" outline="0" fieldPosition="0"/>
    </format>
    <format dxfId="6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0DA975-3257-4A11-9629-C00D632D610A}" name="Tabela dinâmica6"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Tempo de Acesso">
  <location ref="A3:D14" firstHeaderRow="0" firstDataRow="1" firstDataCol="1"/>
  <pivotFields count="3">
    <pivotField showAll="0">
      <items count="3">
        <item x="1"/>
        <item x="0"/>
        <item t="default"/>
      </items>
    </pivotField>
    <pivotField showAll="0"/>
    <pivotField axis="axisRow" dataField="1" showAll="0">
      <items count="17">
        <item x="0"/>
        <item x="1"/>
        <item x="2"/>
        <item x="3"/>
        <item x="4"/>
        <item x="5"/>
        <item x="6"/>
        <item x="7"/>
        <item x="8"/>
        <item x="9"/>
        <item x="10"/>
        <item x="11"/>
        <item x="12"/>
        <item x="13"/>
        <item x="14"/>
        <item x="15"/>
        <item t="default"/>
      </items>
    </pivotField>
  </pivotFields>
  <rowFields count="1">
    <field x="2"/>
  </rowFields>
  <rowItems count="11">
    <i>
      <x v="1"/>
    </i>
    <i>
      <x v="2"/>
    </i>
    <i>
      <x v="3"/>
    </i>
    <i>
      <x v="4"/>
    </i>
    <i>
      <x v="5"/>
    </i>
    <i>
      <x v="6"/>
    </i>
    <i>
      <x v="7"/>
    </i>
    <i>
      <x v="9"/>
    </i>
    <i>
      <x v="10"/>
    </i>
    <i>
      <x v="14"/>
    </i>
    <i t="grand">
      <x/>
    </i>
  </rowItems>
  <colFields count="1">
    <field x="-2"/>
  </colFields>
  <colItems count="3">
    <i>
      <x/>
    </i>
    <i i="1">
      <x v="1"/>
    </i>
    <i i="2">
      <x v="2"/>
    </i>
  </colItems>
  <dataFields count="3">
    <dataField name="fi" fld="2" subtotal="count" baseField="2" baseItem="0"/>
    <dataField name="%" fld="2" subtotal="count" showDataAs="percentOfTotal" baseField="2" baseItem="0" numFmtId="10"/>
    <dataField name="fac" fld="2" subtotal="count" showDataAs="runTotal" baseField="2" baseItem="1"/>
  </dataFields>
  <formats count="12">
    <format dxfId="64">
      <pivotArea type="all" dataOnly="0" outline="0" fieldPosition="0"/>
    </format>
    <format dxfId="63">
      <pivotArea outline="0" collapsedLevelsAreSubtotals="1" fieldPosition="0"/>
    </format>
    <format dxfId="62">
      <pivotArea field="2" type="button" dataOnly="0" labelOnly="1" outline="0" axis="axisRow" fieldPosition="0"/>
    </format>
    <format dxfId="61">
      <pivotArea dataOnly="0" labelOnly="1" fieldPosition="0">
        <references count="1">
          <reference field="2" count="10">
            <x v="1"/>
            <x v="2"/>
            <x v="3"/>
            <x v="4"/>
            <x v="5"/>
            <x v="6"/>
            <x v="7"/>
            <x v="9"/>
            <x v="10"/>
            <x v="14"/>
          </reference>
        </references>
      </pivotArea>
    </format>
    <format dxfId="60">
      <pivotArea dataOnly="0" labelOnly="1" grandRow="1" outline="0" fieldPosition="0"/>
    </format>
    <format dxfId="59">
      <pivotArea dataOnly="0" labelOnly="1" outline="0" fieldPosition="0">
        <references count="1">
          <reference field="4294967294" count="3">
            <x v="0"/>
            <x v="1"/>
            <x v="2"/>
          </reference>
        </references>
      </pivotArea>
    </format>
    <format dxfId="58">
      <pivotArea type="all" dataOnly="0" outline="0" fieldPosition="0"/>
    </format>
    <format dxfId="57">
      <pivotArea outline="0" collapsedLevelsAreSubtotals="1" fieldPosition="0"/>
    </format>
    <format dxfId="56">
      <pivotArea field="2" type="button" dataOnly="0" labelOnly="1" outline="0" axis="axisRow" fieldPosition="0"/>
    </format>
    <format dxfId="55">
      <pivotArea dataOnly="0" labelOnly="1" fieldPosition="0">
        <references count="1">
          <reference field="2" count="10">
            <x v="1"/>
            <x v="2"/>
            <x v="3"/>
            <x v="4"/>
            <x v="5"/>
            <x v="6"/>
            <x v="7"/>
            <x v="9"/>
            <x v="10"/>
            <x v="14"/>
          </reference>
        </references>
      </pivotArea>
    </format>
    <format dxfId="54">
      <pivotArea dataOnly="0" labelOnly="1" grandRow="1" outline="0" fieldPosition="0"/>
    </format>
    <format dxfId="5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45B594-CA1D-4A32-BF6F-7E62AA30F615}" name="Tabela dinâmica9" cacheId="3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rowHeaderCaption="Faixa Etária">
  <location ref="A70:B77" firstHeaderRow="1" firstDataRow="1" firstDataCol="1"/>
  <pivotFields count="3">
    <pivotField showAll="0">
      <items count="3">
        <item x="1"/>
        <item x="0"/>
        <item t="default"/>
      </items>
    </pivotField>
    <pivotField axis="axisRow" showAll="0">
      <items count="9">
        <item x="0"/>
        <item x="1"/>
        <item x="2"/>
        <item x="3"/>
        <item x="4"/>
        <item x="5"/>
        <item x="6"/>
        <item x="7"/>
        <item t="default"/>
      </items>
    </pivotField>
    <pivotField dataField="1" showAll="0">
      <items count="11">
        <item x="0"/>
        <item x="1"/>
        <item x="2"/>
        <item x="3"/>
        <item x="4"/>
        <item x="5"/>
        <item x="6"/>
        <item x="7"/>
        <item x="8"/>
        <item x="9"/>
        <item t="default"/>
      </items>
    </pivotField>
  </pivotFields>
  <rowFields count="1">
    <field x="1"/>
  </rowFields>
  <rowItems count="7">
    <i>
      <x v="1"/>
    </i>
    <i>
      <x v="2"/>
    </i>
    <i>
      <x v="3"/>
    </i>
    <i>
      <x v="4"/>
    </i>
    <i>
      <x v="5"/>
    </i>
    <i>
      <x v="6"/>
    </i>
    <i t="grand">
      <x/>
    </i>
  </rowItems>
  <colItems count="1">
    <i/>
  </colItems>
  <dataFields count="1">
    <dataField name="Média de Tempo de acesso semanal" fld="2" subtotal="average" baseField="1" baseItem="1"/>
  </dataFields>
  <formats count="17">
    <format dxfId="16">
      <pivotArea collapsedLevelsAreSubtotals="1" fieldPosition="0">
        <references count="1">
          <reference field="1" count="2">
            <x v="5"/>
            <x v="6"/>
          </reference>
        </references>
      </pivotArea>
    </format>
    <format dxfId="15">
      <pivotArea collapsedLevelsAreSubtotals="1" fieldPosition="0">
        <references count="1">
          <reference field="1" count="1">
            <x v="1"/>
          </reference>
        </references>
      </pivotArea>
    </format>
    <format dxfId="14">
      <pivotArea collapsedLevelsAreSubtotals="1" fieldPosition="0">
        <references count="1">
          <reference field="1" count="1">
            <x v="4"/>
          </reference>
        </references>
      </pivotArea>
    </format>
    <format dxfId="13">
      <pivotArea collapsedLevelsAreSubtotals="1" fieldPosition="0">
        <references count="1">
          <reference field="1" count="1">
            <x v="2"/>
          </reference>
        </references>
      </pivotArea>
    </format>
    <format dxfId="12">
      <pivotArea collapsedLevelsAreSubtotals="1" fieldPosition="0">
        <references count="1">
          <reference field="1" count="1">
            <x v="3"/>
          </reference>
        </references>
      </pivotArea>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6">
            <x v="1"/>
            <x v="2"/>
            <x v="3"/>
            <x v="4"/>
            <x v="5"/>
            <x v="6"/>
          </reference>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6">
            <x v="1"/>
            <x v="2"/>
            <x v="3"/>
            <x v="4"/>
            <x v="5"/>
            <x v="6"/>
          </reference>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DF2522-7781-4C0F-A303-F8F4ED826E28}" name="Tabela dinâmica8" cacheId="3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50:D58" firstHeaderRow="1" firstDataRow="2" firstDataCol="1"/>
  <pivotFields count="3">
    <pivotField axis="axisCol" showAll="0">
      <items count="3">
        <item x="1"/>
        <item x="0"/>
        <item t="default"/>
      </items>
    </pivotField>
    <pivotField axis="axisRow" dataField="1" showAll="0">
      <items count="9">
        <item x="0"/>
        <item x="1"/>
        <item x="2"/>
        <item x="3"/>
        <item x="4"/>
        <item x="5"/>
        <item x="6"/>
        <item x="7"/>
        <item t="default"/>
      </items>
    </pivotField>
    <pivotField showAll="0">
      <items count="11">
        <item x="0"/>
        <item x="1"/>
        <item x="2"/>
        <item x="3"/>
        <item x="4"/>
        <item x="5"/>
        <item x="6"/>
        <item x="7"/>
        <item x="8"/>
        <item x="9"/>
        <item t="default"/>
      </items>
    </pivotField>
  </pivotFields>
  <rowFields count="1">
    <field x="1"/>
  </rowFields>
  <rowItems count="7">
    <i>
      <x v="1"/>
    </i>
    <i>
      <x v="2"/>
    </i>
    <i>
      <x v="3"/>
    </i>
    <i>
      <x v="4"/>
    </i>
    <i>
      <x v="5"/>
    </i>
    <i>
      <x v="6"/>
    </i>
    <i t="grand">
      <x/>
    </i>
  </rowItems>
  <colFields count="1">
    <field x="0"/>
  </colFields>
  <colItems count="3">
    <i>
      <x/>
    </i>
    <i>
      <x v="1"/>
    </i>
    <i t="grand">
      <x/>
    </i>
  </colItems>
  <dataFields count="1">
    <dataField name="Contagem de Idade" fld="1" subtotal="count" baseField="1" baseItem="0"/>
  </dataFields>
  <formats count="20">
    <format dxfId="36">
      <pivotArea type="all" dataOnly="0" outline="0" fieldPosition="0"/>
    </format>
    <format dxfId="35">
      <pivotArea outline="0" collapsedLevelsAreSubtotals="1" fieldPosition="0"/>
    </format>
    <format dxfId="34">
      <pivotArea type="origin" dataOnly="0" labelOnly="1" outline="0" fieldPosition="0"/>
    </format>
    <format dxfId="33">
      <pivotArea field="0" type="button" dataOnly="0" labelOnly="1" outline="0" axis="axisCol" fieldPosition="0"/>
    </format>
    <format dxfId="32">
      <pivotArea type="topRight" dataOnly="0" labelOnly="1" outline="0" fieldPosition="0"/>
    </format>
    <format dxfId="31">
      <pivotArea field="1" type="button" dataOnly="0" labelOnly="1" outline="0" axis="axisRow" fieldPosition="0"/>
    </format>
    <format dxfId="30">
      <pivotArea dataOnly="0" labelOnly="1" fieldPosition="0">
        <references count="1">
          <reference field="1" count="6">
            <x v="1"/>
            <x v="2"/>
            <x v="3"/>
            <x v="4"/>
            <x v="5"/>
            <x v="6"/>
          </reference>
        </references>
      </pivotArea>
    </format>
    <format dxfId="29">
      <pivotArea dataOnly="0" labelOnly="1" grandRow="1" outline="0" fieldPosition="0"/>
    </format>
    <format dxfId="28">
      <pivotArea dataOnly="0" labelOnly="1" fieldPosition="0">
        <references count="1">
          <reference field="0" count="0"/>
        </references>
      </pivotArea>
    </format>
    <format dxfId="27">
      <pivotArea dataOnly="0" labelOnly="1" grandCol="1" outline="0" fieldPosition="0"/>
    </format>
    <format dxfId="26">
      <pivotArea type="all" dataOnly="0" outline="0" fieldPosition="0"/>
    </format>
    <format dxfId="25">
      <pivotArea outline="0" collapsedLevelsAreSubtotals="1" fieldPosition="0"/>
    </format>
    <format dxfId="24">
      <pivotArea type="origin" dataOnly="0" labelOnly="1" outline="0" fieldPosition="0"/>
    </format>
    <format dxfId="23">
      <pivotArea field="0" type="button" dataOnly="0" labelOnly="1" outline="0" axis="axisCol" fieldPosition="0"/>
    </format>
    <format dxfId="22">
      <pivotArea type="topRight" dataOnly="0" labelOnly="1" outline="0" fieldPosition="0"/>
    </format>
    <format dxfId="21">
      <pivotArea field="1" type="button" dataOnly="0" labelOnly="1" outline="0" axis="axisRow" fieldPosition="0"/>
    </format>
    <format dxfId="20">
      <pivotArea dataOnly="0" labelOnly="1" fieldPosition="0">
        <references count="1">
          <reference field="1" count="6">
            <x v="1"/>
            <x v="2"/>
            <x v="3"/>
            <x v="4"/>
            <x v="5"/>
            <x v="6"/>
          </reference>
        </references>
      </pivotArea>
    </format>
    <format dxfId="19">
      <pivotArea dataOnly="0" labelOnly="1" grandRow="1" outline="0" fieldPosition="0"/>
    </format>
    <format dxfId="18">
      <pivotArea dataOnly="0" labelOnly="1" fieldPosition="0">
        <references count="1">
          <reference field="0" count="0"/>
        </references>
      </pivotArea>
    </format>
    <format dxfId="17">
      <pivotArea dataOnly="0" labelOnly="1" grandCol="1" outline="0" fieldPosition="0"/>
    </format>
  </format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BCDAFB-CFBF-4CE8-9461-A0219692DAF8}" name="Tabela dinâmica5"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A32:D41" firstHeaderRow="1" firstDataRow="2" firstDataCol="1"/>
  <pivotFields count="3">
    <pivotField axis="axisCol" showAll="0">
      <items count="3">
        <item x="1"/>
        <item x="0"/>
        <item t="default"/>
      </items>
    </pivotField>
    <pivotField showAll="0"/>
    <pivotField axis="axisRow" dataField="1" showAll="0">
      <items count="11">
        <item x="0"/>
        <item x="1"/>
        <item x="2"/>
        <item x="3"/>
        <item x="4"/>
        <item x="5"/>
        <item x="6"/>
        <item x="7"/>
        <item x="8"/>
        <item x="9"/>
        <item t="default"/>
      </items>
    </pivotField>
  </pivotFields>
  <rowFields count="1">
    <field x="2"/>
  </rowFields>
  <rowItems count="8">
    <i>
      <x v="1"/>
    </i>
    <i>
      <x v="2"/>
    </i>
    <i>
      <x v="3"/>
    </i>
    <i>
      <x v="4"/>
    </i>
    <i>
      <x v="5"/>
    </i>
    <i>
      <x v="6"/>
    </i>
    <i>
      <x v="8"/>
    </i>
    <i t="grand">
      <x/>
    </i>
  </rowItems>
  <colFields count="1">
    <field x="0"/>
  </colFields>
  <colItems count="3">
    <i>
      <x/>
    </i>
    <i>
      <x v="1"/>
    </i>
    <i t="grand">
      <x/>
    </i>
  </colItems>
  <dataFields count="1">
    <dataField name="Média de Tempo de acesso semanal" fld="2" subtotal="average" baseField="2" baseItem="1" numFmtId="2"/>
  </dataFields>
  <formats count="6">
    <format dxfId="38">
      <pivotArea type="all" dataOnly="0" outline="0" fieldPosition="0"/>
    </format>
    <format dxfId="39">
      <pivotArea outline="0" collapsedLevelsAreSubtotals="1" fieldPosition="0"/>
    </format>
    <format dxfId="40">
      <pivotArea field="0" type="button" dataOnly="0" labelOnly="1" outline="0" axis="axisCol" fieldPosition="0"/>
    </format>
    <format dxfId="41">
      <pivotArea dataOnly="0" labelOnly="1" grandRow="1" outline="0" fieldPosition="0"/>
    </format>
    <format dxfId="42">
      <pivotArea dataOnly="0" labelOnly="1" outline="0" axis="axisValues" fieldPosition="0"/>
    </format>
    <format dxfId="37">
      <pivotArea outline="0" collapsedLevelsAreSubtotals="1" fieldPosition="0"/>
    </format>
  </format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E0E042-8626-4FFE-8943-97907EBA2D79}" name="Tabela dinâmica2" cacheId="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3:D12" firstHeaderRow="1" firstDataRow="2" firstDataCol="1"/>
  <pivotFields count="3">
    <pivotField axis="axisCol" showAll="0">
      <items count="3">
        <item x="1"/>
        <item x="0"/>
        <item t="default"/>
      </items>
    </pivotField>
    <pivotField showAll="0"/>
    <pivotField axis="axisRow" dataField="1" showAll="0">
      <items count="11">
        <item x="0"/>
        <item x="1"/>
        <item x="2"/>
        <item x="3"/>
        <item x="4"/>
        <item x="5"/>
        <item x="6"/>
        <item x="7"/>
        <item x="8"/>
        <item x="9"/>
        <item t="default"/>
      </items>
    </pivotField>
  </pivotFields>
  <rowFields count="1">
    <field x="2"/>
  </rowFields>
  <rowItems count="8">
    <i>
      <x v="1"/>
    </i>
    <i>
      <x v="2"/>
    </i>
    <i>
      <x v="3"/>
    </i>
    <i>
      <x v="4"/>
    </i>
    <i>
      <x v="5"/>
    </i>
    <i>
      <x v="6"/>
    </i>
    <i>
      <x v="8"/>
    </i>
    <i t="grand">
      <x/>
    </i>
  </rowItems>
  <colFields count="1">
    <field x="0"/>
  </colFields>
  <colItems count="3">
    <i>
      <x/>
    </i>
    <i>
      <x v="1"/>
    </i>
    <i t="grand">
      <x/>
    </i>
  </colItems>
  <dataFields count="1">
    <dataField name="Contagem de Tempo de acesso semanal" fld="2" subtotal="count" baseField="2" baseItem="0"/>
  </dataFields>
  <formats count="10">
    <format dxfId="52">
      <pivotArea type="all" dataOnly="0" outline="0" fieldPosition="0"/>
    </format>
    <format dxfId="51">
      <pivotArea outline="0" collapsedLevelsAreSubtotals="1" fieldPosition="0"/>
    </format>
    <format dxfId="50">
      <pivotArea type="origin" dataOnly="0" labelOnly="1" outline="0" fieldPosition="0"/>
    </format>
    <format dxfId="49">
      <pivotArea field="0" type="button" dataOnly="0" labelOnly="1" outline="0" axis="axisCol" fieldPosition="0"/>
    </format>
    <format dxfId="48">
      <pivotArea type="topRight" dataOnly="0" labelOnly="1" outline="0" fieldPosition="0"/>
    </format>
    <format dxfId="47">
      <pivotArea field="2" type="button" dataOnly="0" labelOnly="1" outline="0" axis="axisRow" fieldPosition="0"/>
    </format>
    <format dxfId="46">
      <pivotArea dataOnly="0" labelOnly="1" fieldPosition="0">
        <references count="1">
          <reference field="2" count="7">
            <x v="1"/>
            <x v="2"/>
            <x v="3"/>
            <x v="4"/>
            <x v="5"/>
            <x v="6"/>
            <x v="8"/>
          </reference>
        </references>
      </pivotArea>
    </format>
    <format dxfId="45">
      <pivotArea dataOnly="0" labelOnly="1" grandRow="1" outline="0" fieldPosition="0"/>
    </format>
    <format dxfId="44">
      <pivotArea dataOnly="0" labelOnly="1" fieldPosition="0">
        <references count="1">
          <reference field="0" count="0"/>
        </references>
      </pivotArea>
    </format>
    <format dxfId="43">
      <pivotArea dataOnly="0" labelOnly="1" grandCol="1" outline="0" fieldPosition="0"/>
    </format>
  </format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4.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838B8-3648-4515-90BE-A5C129E971C2}">
  <dimension ref="A3:D11"/>
  <sheetViews>
    <sheetView workbookViewId="0">
      <selection activeCell="E20" sqref="E20"/>
    </sheetView>
  </sheetViews>
  <sheetFormatPr defaultRowHeight="12.5" x14ac:dyDescent="0.25"/>
  <cols>
    <col min="1" max="1" width="10.453125" bestFit="1" customWidth="1"/>
    <col min="2" max="2" width="2.81640625" bestFit="1" customWidth="1"/>
    <col min="3" max="3" width="7.81640625" bestFit="1" customWidth="1"/>
    <col min="4" max="4" width="3.453125" bestFit="1" customWidth="1"/>
  </cols>
  <sheetData>
    <row r="3" spans="1:4" x14ac:dyDescent="0.25">
      <c r="A3" s="8" t="s">
        <v>3</v>
      </c>
      <c r="B3" s="9" t="s">
        <v>7</v>
      </c>
      <c r="C3" s="9" t="s">
        <v>6</v>
      </c>
      <c r="D3" s="9" t="s">
        <v>8</v>
      </c>
    </row>
    <row r="4" spans="1:4" x14ac:dyDescent="0.25">
      <c r="A4" s="9" t="s">
        <v>2</v>
      </c>
      <c r="B4" s="10">
        <v>13</v>
      </c>
      <c r="C4" s="11">
        <v>0.43333333333333335</v>
      </c>
      <c r="D4" s="10">
        <v>13</v>
      </c>
    </row>
    <row r="5" spans="1:4" x14ac:dyDescent="0.25">
      <c r="A5" s="9" t="s">
        <v>4</v>
      </c>
      <c r="B5" s="10">
        <v>17</v>
      </c>
      <c r="C5" s="11">
        <v>0.56666666666666665</v>
      </c>
      <c r="D5" s="10">
        <v>30</v>
      </c>
    </row>
    <row r="6" spans="1:4" x14ac:dyDescent="0.25">
      <c r="A6" s="9" t="s">
        <v>5</v>
      </c>
      <c r="B6" s="10">
        <v>30</v>
      </c>
      <c r="C6" s="11">
        <v>1</v>
      </c>
      <c r="D6" s="10"/>
    </row>
    <row r="8" spans="1:4" ht="13" x14ac:dyDescent="0.25">
      <c r="A8" s="12" t="s">
        <v>3</v>
      </c>
      <c r="B8" s="12" t="s">
        <v>7</v>
      </c>
    </row>
    <row r="9" spans="1:4" x14ac:dyDescent="0.25">
      <c r="A9" s="9" t="s">
        <v>2</v>
      </c>
      <c r="B9" s="10">
        <v>13</v>
      </c>
    </row>
    <row r="10" spans="1:4" x14ac:dyDescent="0.25">
      <c r="A10" s="9" t="s">
        <v>4</v>
      </c>
      <c r="B10" s="10">
        <v>17</v>
      </c>
    </row>
    <row r="11" spans="1:4" ht="13" x14ac:dyDescent="0.25">
      <c r="A11" s="13" t="s">
        <v>5</v>
      </c>
      <c r="B11" s="14">
        <v>30</v>
      </c>
    </row>
  </sheetData>
  <pageMargins left="0.511811024" right="0.511811024" top="0.78740157499999996" bottom="0.78740157499999996" header="0.31496062000000002" footer="0.31496062000000002"/>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D099-9DFA-41B4-8055-E627740A3DB2}">
  <dimension ref="A3:D26"/>
  <sheetViews>
    <sheetView topLeftCell="A4" workbookViewId="0">
      <selection activeCell="R10" sqref="R10"/>
    </sheetView>
  </sheetViews>
  <sheetFormatPr defaultRowHeight="12.5" x14ac:dyDescent="0.25"/>
  <cols>
    <col min="1" max="1" width="10.453125" bestFit="1" customWidth="1"/>
    <col min="2" max="2" width="2.81640625" bestFit="1" customWidth="1"/>
    <col min="3" max="3" width="7.81640625" bestFit="1" customWidth="1"/>
    <col min="4" max="4" width="3.453125" bestFit="1" customWidth="1"/>
  </cols>
  <sheetData>
    <row r="3" spans="1:4" x14ac:dyDescent="0.25">
      <c r="A3" s="8" t="s">
        <v>1</v>
      </c>
      <c r="B3" s="9" t="s">
        <v>7</v>
      </c>
      <c r="C3" s="9" t="s">
        <v>6</v>
      </c>
      <c r="D3" s="9" t="s">
        <v>8</v>
      </c>
    </row>
    <row r="4" spans="1:4" x14ac:dyDescent="0.25">
      <c r="A4" s="9" t="s">
        <v>9</v>
      </c>
      <c r="B4" s="10">
        <v>5</v>
      </c>
      <c r="C4" s="11">
        <v>0.16666666666666666</v>
      </c>
      <c r="D4" s="10">
        <v>5</v>
      </c>
    </row>
    <row r="5" spans="1:4" x14ac:dyDescent="0.25">
      <c r="A5" s="9" t="s">
        <v>10</v>
      </c>
      <c r="B5" s="10">
        <v>4</v>
      </c>
      <c r="C5" s="11">
        <v>0.13333333333333333</v>
      </c>
      <c r="D5" s="10">
        <v>9</v>
      </c>
    </row>
    <row r="6" spans="1:4" x14ac:dyDescent="0.25">
      <c r="A6" s="9" t="s">
        <v>11</v>
      </c>
      <c r="B6" s="10">
        <v>6</v>
      </c>
      <c r="C6" s="11">
        <v>0.2</v>
      </c>
      <c r="D6" s="10">
        <v>15</v>
      </c>
    </row>
    <row r="7" spans="1:4" x14ac:dyDescent="0.25">
      <c r="A7" s="9" t="s">
        <v>12</v>
      </c>
      <c r="B7" s="10">
        <v>4</v>
      </c>
      <c r="C7" s="11">
        <v>0.13333333333333333</v>
      </c>
      <c r="D7" s="10">
        <v>19</v>
      </c>
    </row>
    <row r="8" spans="1:4" x14ac:dyDescent="0.25">
      <c r="A8" s="9" t="s">
        <v>13</v>
      </c>
      <c r="B8" s="10">
        <v>1</v>
      </c>
      <c r="C8" s="11">
        <v>3.3333333333333333E-2</v>
      </c>
      <c r="D8" s="10">
        <v>20</v>
      </c>
    </row>
    <row r="9" spans="1:4" x14ac:dyDescent="0.25">
      <c r="A9" s="9" t="s">
        <v>14</v>
      </c>
      <c r="B9" s="10">
        <v>3</v>
      </c>
      <c r="C9" s="11">
        <v>0.1</v>
      </c>
      <c r="D9" s="10">
        <v>23</v>
      </c>
    </row>
    <row r="10" spans="1:4" x14ac:dyDescent="0.25">
      <c r="A10" s="9" t="s">
        <v>15</v>
      </c>
      <c r="B10" s="10">
        <v>4</v>
      </c>
      <c r="C10" s="11">
        <v>0.13333333333333333</v>
      </c>
      <c r="D10" s="10">
        <v>27</v>
      </c>
    </row>
    <row r="11" spans="1:4" x14ac:dyDescent="0.25">
      <c r="A11" s="9" t="s">
        <v>16</v>
      </c>
      <c r="B11" s="10">
        <v>2</v>
      </c>
      <c r="C11" s="11">
        <v>6.6666666666666666E-2</v>
      </c>
      <c r="D11" s="10">
        <v>29</v>
      </c>
    </row>
    <row r="12" spans="1:4" x14ac:dyDescent="0.25">
      <c r="A12" s="9" t="s">
        <v>17</v>
      </c>
      <c r="B12" s="10">
        <v>1</v>
      </c>
      <c r="C12" s="11">
        <v>3.3333333333333333E-2</v>
      </c>
      <c r="D12" s="10">
        <v>30</v>
      </c>
    </row>
    <row r="13" spans="1:4" x14ac:dyDescent="0.25">
      <c r="A13" s="9" t="s">
        <v>5</v>
      </c>
      <c r="B13" s="10">
        <v>30</v>
      </c>
      <c r="C13" s="11">
        <v>1</v>
      </c>
      <c r="D13" s="10"/>
    </row>
    <row r="16" spans="1:4" ht="13" x14ac:dyDescent="0.25">
      <c r="A16" s="12" t="s">
        <v>1</v>
      </c>
      <c r="B16" s="12" t="s">
        <v>7</v>
      </c>
    </row>
    <row r="17" spans="1:2" x14ac:dyDescent="0.25">
      <c r="A17" s="9" t="s">
        <v>9</v>
      </c>
      <c r="B17" s="10">
        <v>5</v>
      </c>
    </row>
    <row r="18" spans="1:2" x14ac:dyDescent="0.25">
      <c r="A18" s="9" t="s">
        <v>10</v>
      </c>
      <c r="B18" s="10">
        <v>4</v>
      </c>
    </row>
    <row r="19" spans="1:2" x14ac:dyDescent="0.25">
      <c r="A19" s="9" t="s">
        <v>11</v>
      </c>
      <c r="B19" s="10">
        <v>6</v>
      </c>
    </row>
    <row r="20" spans="1:2" x14ac:dyDescent="0.25">
      <c r="A20" s="9" t="s">
        <v>12</v>
      </c>
      <c r="B20" s="10">
        <v>4</v>
      </c>
    </row>
    <row r="21" spans="1:2" x14ac:dyDescent="0.25">
      <c r="A21" s="9" t="s">
        <v>13</v>
      </c>
      <c r="B21" s="10">
        <v>1</v>
      </c>
    </row>
    <row r="22" spans="1:2" x14ac:dyDescent="0.25">
      <c r="A22" s="9" t="s">
        <v>14</v>
      </c>
      <c r="B22" s="10">
        <v>3</v>
      </c>
    </row>
    <row r="23" spans="1:2" x14ac:dyDescent="0.25">
      <c r="A23" s="9" t="s">
        <v>15</v>
      </c>
      <c r="B23" s="10">
        <v>4</v>
      </c>
    </row>
    <row r="24" spans="1:2" x14ac:dyDescent="0.25">
      <c r="A24" s="9" t="s">
        <v>16</v>
      </c>
      <c r="B24" s="10">
        <v>2</v>
      </c>
    </row>
    <row r="25" spans="1:2" x14ac:dyDescent="0.25">
      <c r="A25" s="9" t="s">
        <v>17</v>
      </c>
      <c r="B25" s="10">
        <v>1</v>
      </c>
    </row>
    <row r="26" spans="1:2" ht="13" x14ac:dyDescent="0.25">
      <c r="A26" s="13" t="s">
        <v>5</v>
      </c>
      <c r="B26" s="14">
        <v>30</v>
      </c>
    </row>
  </sheetData>
  <pageMargins left="0.511811024" right="0.511811024" top="0.78740157499999996" bottom="0.78740157499999996" header="0.31496062000000002" footer="0.31496062000000002"/>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24076-AD36-435B-94E8-134FD66284AC}">
  <dimension ref="A3:D27"/>
  <sheetViews>
    <sheetView topLeftCell="A7" workbookViewId="0">
      <selection activeCell="A16" sqref="A16:B26"/>
    </sheetView>
  </sheetViews>
  <sheetFormatPr defaultRowHeight="12.5" x14ac:dyDescent="0.25"/>
  <cols>
    <col min="1" max="1" width="18.54296875" bestFit="1" customWidth="1"/>
    <col min="2" max="2" width="2.81640625" bestFit="1" customWidth="1"/>
    <col min="3" max="3" width="7.81640625" bestFit="1" customWidth="1"/>
    <col min="4" max="4" width="3.453125" bestFit="1" customWidth="1"/>
  </cols>
  <sheetData>
    <row r="3" spans="1:4" x14ac:dyDescent="0.25">
      <c r="A3" s="8" t="s">
        <v>18</v>
      </c>
      <c r="B3" s="9" t="s">
        <v>7</v>
      </c>
      <c r="C3" s="9" t="s">
        <v>6</v>
      </c>
      <c r="D3" s="9" t="s">
        <v>8</v>
      </c>
    </row>
    <row r="4" spans="1:4" x14ac:dyDescent="0.25">
      <c r="A4" s="9" t="s">
        <v>19</v>
      </c>
      <c r="B4" s="10">
        <v>4</v>
      </c>
      <c r="C4" s="11">
        <v>0.13333333333333333</v>
      </c>
      <c r="D4" s="10">
        <v>4</v>
      </c>
    </row>
    <row r="5" spans="1:4" x14ac:dyDescent="0.25">
      <c r="A5" s="9" t="s">
        <v>20</v>
      </c>
      <c r="B5" s="10">
        <v>2</v>
      </c>
      <c r="C5" s="11">
        <v>6.6666666666666666E-2</v>
      </c>
      <c r="D5" s="10">
        <v>6</v>
      </c>
    </row>
    <row r="6" spans="1:4" x14ac:dyDescent="0.25">
      <c r="A6" s="9" t="s">
        <v>21</v>
      </c>
      <c r="B6" s="10">
        <v>3</v>
      </c>
      <c r="C6" s="11">
        <v>0.1</v>
      </c>
      <c r="D6" s="10">
        <v>9</v>
      </c>
    </row>
    <row r="7" spans="1:4" x14ac:dyDescent="0.25">
      <c r="A7" s="9" t="s">
        <v>22</v>
      </c>
      <c r="B7" s="10">
        <v>7</v>
      </c>
      <c r="C7" s="11">
        <v>0.23333333333333334</v>
      </c>
      <c r="D7" s="10">
        <v>16</v>
      </c>
    </row>
    <row r="8" spans="1:4" x14ac:dyDescent="0.25">
      <c r="A8" s="9" t="s">
        <v>23</v>
      </c>
      <c r="B8" s="10">
        <v>2</v>
      </c>
      <c r="C8" s="11">
        <v>6.6666666666666666E-2</v>
      </c>
      <c r="D8" s="10">
        <v>18</v>
      </c>
    </row>
    <row r="9" spans="1:4" x14ac:dyDescent="0.25">
      <c r="A9" s="9" t="s">
        <v>24</v>
      </c>
      <c r="B9" s="10">
        <v>2</v>
      </c>
      <c r="C9" s="11">
        <v>6.6666666666666666E-2</v>
      </c>
      <c r="D9" s="10">
        <v>20</v>
      </c>
    </row>
    <row r="10" spans="1:4" x14ac:dyDescent="0.25">
      <c r="A10" s="9" t="s">
        <v>25</v>
      </c>
      <c r="B10" s="10">
        <v>6</v>
      </c>
      <c r="C10" s="11">
        <v>0.2</v>
      </c>
      <c r="D10" s="10">
        <v>26</v>
      </c>
    </row>
    <row r="11" spans="1:4" x14ac:dyDescent="0.25">
      <c r="A11" s="9" t="s">
        <v>26</v>
      </c>
      <c r="B11" s="10">
        <v>2</v>
      </c>
      <c r="C11" s="11">
        <v>6.6666666666666666E-2</v>
      </c>
      <c r="D11" s="10">
        <v>28</v>
      </c>
    </row>
    <row r="12" spans="1:4" x14ac:dyDescent="0.25">
      <c r="A12" s="9" t="s">
        <v>27</v>
      </c>
      <c r="B12" s="10">
        <v>1</v>
      </c>
      <c r="C12" s="11">
        <v>3.3333333333333333E-2</v>
      </c>
      <c r="D12" s="10">
        <v>29</v>
      </c>
    </row>
    <row r="13" spans="1:4" x14ac:dyDescent="0.25">
      <c r="A13" s="9" t="s">
        <v>28</v>
      </c>
      <c r="B13" s="10">
        <v>1</v>
      </c>
      <c r="C13" s="11">
        <v>3.3333333333333333E-2</v>
      </c>
      <c r="D13" s="10">
        <v>30</v>
      </c>
    </row>
    <row r="14" spans="1:4" x14ac:dyDescent="0.25">
      <c r="A14" s="9" t="s">
        <v>5</v>
      </c>
      <c r="B14" s="10">
        <v>30</v>
      </c>
      <c r="C14" s="11">
        <v>1</v>
      </c>
      <c r="D14" s="10"/>
    </row>
    <row r="16" spans="1:4" ht="13" x14ac:dyDescent="0.25">
      <c r="A16" s="12" t="s">
        <v>18</v>
      </c>
      <c r="B16" s="12" t="s">
        <v>7</v>
      </c>
    </row>
    <row r="17" spans="1:2" x14ac:dyDescent="0.25">
      <c r="A17" s="9" t="s">
        <v>19</v>
      </c>
      <c r="B17" s="10">
        <v>4</v>
      </c>
    </row>
    <row r="18" spans="1:2" x14ac:dyDescent="0.25">
      <c r="A18" s="9" t="s">
        <v>20</v>
      </c>
      <c r="B18" s="10">
        <v>2</v>
      </c>
    </row>
    <row r="19" spans="1:2" x14ac:dyDescent="0.25">
      <c r="A19" s="9" t="s">
        <v>21</v>
      </c>
      <c r="B19" s="10">
        <v>3</v>
      </c>
    </row>
    <row r="20" spans="1:2" x14ac:dyDescent="0.25">
      <c r="A20" s="9" t="s">
        <v>22</v>
      </c>
      <c r="B20" s="10">
        <v>7</v>
      </c>
    </row>
    <row r="21" spans="1:2" x14ac:dyDescent="0.25">
      <c r="A21" s="9" t="s">
        <v>23</v>
      </c>
      <c r="B21" s="10">
        <v>2</v>
      </c>
    </row>
    <row r="22" spans="1:2" x14ac:dyDescent="0.25">
      <c r="A22" s="9" t="s">
        <v>24</v>
      </c>
      <c r="B22" s="10">
        <v>2</v>
      </c>
    </row>
    <row r="23" spans="1:2" x14ac:dyDescent="0.25">
      <c r="A23" s="9" t="s">
        <v>25</v>
      </c>
      <c r="B23" s="10">
        <v>6</v>
      </c>
    </row>
    <row r="24" spans="1:2" x14ac:dyDescent="0.25">
      <c r="A24" s="9" t="s">
        <v>26</v>
      </c>
      <c r="B24" s="10">
        <v>2</v>
      </c>
    </row>
    <row r="25" spans="1:2" x14ac:dyDescent="0.25">
      <c r="A25" s="9" t="s">
        <v>27</v>
      </c>
      <c r="B25" s="10">
        <v>1</v>
      </c>
    </row>
    <row r="26" spans="1:2" x14ac:dyDescent="0.25">
      <c r="A26" s="9" t="s">
        <v>28</v>
      </c>
      <c r="B26" s="10">
        <v>1</v>
      </c>
    </row>
    <row r="27" spans="1:2" ht="13" x14ac:dyDescent="0.25">
      <c r="A27" s="13" t="s">
        <v>5</v>
      </c>
      <c r="B27" s="14">
        <v>30</v>
      </c>
    </row>
  </sheetData>
  <pageMargins left="0.511811024" right="0.511811024" top="0.78740157499999996" bottom="0.78740157499999996" header="0.31496062000000002" footer="0.31496062000000002"/>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47090-C916-4255-8BD3-9BDB2F3C2D39}">
  <dimension ref="A2:G77"/>
  <sheetViews>
    <sheetView topLeftCell="B35" zoomScaleNormal="100" workbookViewId="0">
      <selection activeCell="G4" sqref="G4:G5"/>
    </sheetView>
  </sheetViews>
  <sheetFormatPr defaultRowHeight="12.5" x14ac:dyDescent="0.25"/>
  <cols>
    <col min="1" max="1" width="20" bestFit="1" customWidth="1"/>
    <col min="2" max="2" width="35.81640625" customWidth="1"/>
    <col min="3" max="3" width="7" customWidth="1"/>
    <col min="4" max="4" width="10.36328125" bestFit="1" customWidth="1"/>
    <col min="7" max="7" width="87.08984375" customWidth="1"/>
  </cols>
  <sheetData>
    <row r="2" spans="1:7" ht="13" thickBot="1" x14ac:dyDescent="0.3"/>
    <row r="3" spans="1:7" ht="13" thickBot="1" x14ac:dyDescent="0.3">
      <c r="A3" s="27" t="s">
        <v>43</v>
      </c>
      <c r="B3" s="27" t="s">
        <v>51</v>
      </c>
      <c r="C3" s="7"/>
      <c r="D3" s="7"/>
      <c r="F3" s="29">
        <v>6</v>
      </c>
      <c r="G3" t="s">
        <v>52</v>
      </c>
    </row>
    <row r="4" spans="1:7" x14ac:dyDescent="0.25">
      <c r="A4" s="27" t="s">
        <v>42</v>
      </c>
      <c r="B4" s="7" t="s">
        <v>2</v>
      </c>
      <c r="C4" s="7" t="s">
        <v>4</v>
      </c>
      <c r="D4" s="7" t="s">
        <v>5</v>
      </c>
      <c r="G4" s="32" t="s">
        <v>55</v>
      </c>
    </row>
    <row r="5" spans="1:7" x14ac:dyDescent="0.25">
      <c r="A5" s="7" t="s">
        <v>44</v>
      </c>
      <c r="B5" s="28">
        <v>3</v>
      </c>
      <c r="C5" s="28">
        <v>2</v>
      </c>
      <c r="D5" s="28">
        <v>5</v>
      </c>
      <c r="G5" s="32"/>
    </row>
    <row r="6" spans="1:7" x14ac:dyDescent="0.25">
      <c r="A6" s="7" t="s">
        <v>45</v>
      </c>
      <c r="B6" s="28">
        <v>1</v>
      </c>
      <c r="C6" s="28">
        <v>3</v>
      </c>
      <c r="D6" s="28">
        <v>4</v>
      </c>
    </row>
    <row r="7" spans="1:7" x14ac:dyDescent="0.25">
      <c r="A7" s="7" t="s">
        <v>46</v>
      </c>
      <c r="B7" s="28">
        <v>3</v>
      </c>
      <c r="C7" s="28">
        <v>6</v>
      </c>
      <c r="D7" s="28">
        <v>9</v>
      </c>
      <c r="G7" t="s">
        <v>53</v>
      </c>
    </row>
    <row r="8" spans="1:7" x14ac:dyDescent="0.25">
      <c r="A8" s="7" t="s">
        <v>47</v>
      </c>
      <c r="B8" s="28">
        <v>3</v>
      </c>
      <c r="C8" s="28">
        <v>1</v>
      </c>
      <c r="D8" s="28">
        <v>4</v>
      </c>
      <c r="G8" s="32" t="s">
        <v>65</v>
      </c>
    </row>
    <row r="9" spans="1:7" x14ac:dyDescent="0.25">
      <c r="A9" s="7" t="s">
        <v>48</v>
      </c>
      <c r="B9" s="28">
        <v>3</v>
      </c>
      <c r="C9" s="28">
        <v>3</v>
      </c>
      <c r="D9" s="28">
        <v>6</v>
      </c>
      <c r="G9" s="32"/>
    </row>
    <row r="10" spans="1:7" x14ac:dyDescent="0.25">
      <c r="A10" s="7" t="s">
        <v>49</v>
      </c>
      <c r="B10" s="28"/>
      <c r="C10" s="28">
        <v>1</v>
      </c>
      <c r="D10" s="28">
        <v>1</v>
      </c>
    </row>
    <row r="11" spans="1:7" x14ac:dyDescent="0.25">
      <c r="A11" s="7" t="s">
        <v>50</v>
      </c>
      <c r="B11" s="28"/>
      <c r="C11" s="28">
        <v>1</v>
      </c>
      <c r="D11" s="28">
        <v>1</v>
      </c>
      <c r="G11" t="s">
        <v>56</v>
      </c>
    </row>
    <row r="12" spans="1:7" ht="12.5" customHeight="1" x14ac:dyDescent="0.25">
      <c r="A12" s="7" t="s">
        <v>5</v>
      </c>
      <c r="B12" s="28">
        <v>13</v>
      </c>
      <c r="C12" s="28">
        <v>17</v>
      </c>
      <c r="D12" s="28">
        <v>30</v>
      </c>
      <c r="G12" s="32" t="s">
        <v>64</v>
      </c>
    </row>
    <row r="13" spans="1:7" x14ac:dyDescent="0.25">
      <c r="G13" s="32"/>
    </row>
    <row r="14" spans="1:7" x14ac:dyDescent="0.25">
      <c r="G14" s="32"/>
    </row>
    <row r="16" spans="1:7" x14ac:dyDescent="0.25">
      <c r="G16" s="31" t="s">
        <v>66</v>
      </c>
    </row>
    <row r="17" spans="1:7" x14ac:dyDescent="0.25">
      <c r="G17" s="32" t="s">
        <v>68</v>
      </c>
    </row>
    <row r="18" spans="1:7" x14ac:dyDescent="0.25">
      <c r="G18" s="32"/>
    </row>
    <row r="19" spans="1:7" x14ac:dyDescent="0.25">
      <c r="G19" s="32"/>
    </row>
    <row r="21" spans="1:7" x14ac:dyDescent="0.25">
      <c r="G21" s="34" t="s">
        <v>69</v>
      </c>
    </row>
    <row r="22" spans="1:7" x14ac:dyDescent="0.25">
      <c r="G22" s="32" t="s">
        <v>70</v>
      </c>
    </row>
    <row r="23" spans="1:7" x14ac:dyDescent="0.25">
      <c r="G23" s="32"/>
    </row>
    <row r="24" spans="1:7" x14ac:dyDescent="0.25">
      <c r="G24" s="32"/>
    </row>
    <row r="32" spans="1:7" x14ac:dyDescent="0.25">
      <c r="A32" s="27" t="s">
        <v>54</v>
      </c>
      <c r="B32" s="27" t="s">
        <v>51</v>
      </c>
      <c r="C32" s="7"/>
      <c r="D32" s="7"/>
    </row>
    <row r="33" spans="1:4" x14ac:dyDescent="0.25">
      <c r="A33" s="27" t="s">
        <v>42</v>
      </c>
      <c r="B33" s="7" t="s">
        <v>2</v>
      </c>
      <c r="C33" s="7" t="s">
        <v>4</v>
      </c>
      <c r="D33" s="7" t="s">
        <v>5</v>
      </c>
    </row>
    <row r="34" spans="1:4" x14ac:dyDescent="0.25">
      <c r="A34" s="7" t="s">
        <v>44</v>
      </c>
      <c r="B34" s="30">
        <v>22</v>
      </c>
      <c r="C34" s="30">
        <v>20.5</v>
      </c>
      <c r="D34" s="30">
        <v>21.4</v>
      </c>
    </row>
    <row r="35" spans="1:4" x14ac:dyDescent="0.25">
      <c r="A35" s="7" t="s">
        <v>45</v>
      </c>
      <c r="B35" s="30">
        <v>25</v>
      </c>
      <c r="C35" s="30">
        <v>26.666666666666668</v>
      </c>
      <c r="D35" s="30">
        <v>26.25</v>
      </c>
    </row>
    <row r="36" spans="1:4" x14ac:dyDescent="0.25">
      <c r="A36" s="7" t="s">
        <v>46</v>
      </c>
      <c r="B36" s="30">
        <v>30</v>
      </c>
      <c r="C36" s="30">
        <v>31</v>
      </c>
      <c r="D36" s="30">
        <v>30.666666666666668</v>
      </c>
    </row>
    <row r="37" spans="1:4" x14ac:dyDescent="0.25">
      <c r="A37" s="7" t="s">
        <v>47</v>
      </c>
      <c r="B37" s="30">
        <v>36.333333333333336</v>
      </c>
      <c r="C37" s="30">
        <v>38</v>
      </c>
      <c r="D37" s="30">
        <v>36.75</v>
      </c>
    </row>
    <row r="38" spans="1:4" x14ac:dyDescent="0.25">
      <c r="A38" s="7" t="s">
        <v>48</v>
      </c>
      <c r="B38" s="30">
        <v>42.666666666666664</v>
      </c>
      <c r="C38" s="30">
        <v>40</v>
      </c>
      <c r="D38" s="30">
        <v>41.333333333333336</v>
      </c>
    </row>
    <row r="39" spans="1:4" x14ac:dyDescent="0.25">
      <c r="A39" s="7" t="s">
        <v>49</v>
      </c>
      <c r="B39" s="30"/>
      <c r="C39" s="30">
        <v>48</v>
      </c>
      <c r="D39" s="30">
        <v>48</v>
      </c>
    </row>
    <row r="40" spans="1:4" x14ac:dyDescent="0.25">
      <c r="A40" s="7" t="s">
        <v>50</v>
      </c>
      <c r="B40" s="30"/>
      <c r="C40" s="30">
        <v>60</v>
      </c>
      <c r="D40" s="30">
        <v>60</v>
      </c>
    </row>
    <row r="41" spans="1:4" x14ac:dyDescent="0.25">
      <c r="A41" s="7" t="s">
        <v>5</v>
      </c>
      <c r="B41" s="30">
        <v>32.153846153846153</v>
      </c>
      <c r="C41" s="30">
        <v>33.705882352941174</v>
      </c>
      <c r="D41" s="30">
        <v>33.033333333333331</v>
      </c>
    </row>
    <row r="50" spans="1:4" x14ac:dyDescent="0.25">
      <c r="A50" s="8" t="s">
        <v>57</v>
      </c>
      <c r="B50" s="8" t="s">
        <v>51</v>
      </c>
      <c r="C50" s="9"/>
      <c r="D50" s="9"/>
    </row>
    <row r="51" spans="1:4" x14ac:dyDescent="0.25">
      <c r="A51" s="8" t="s">
        <v>42</v>
      </c>
      <c r="B51" s="9" t="s">
        <v>2</v>
      </c>
      <c r="C51" s="9" t="s">
        <v>4</v>
      </c>
      <c r="D51" s="9" t="s">
        <v>5</v>
      </c>
    </row>
    <row r="52" spans="1:4" x14ac:dyDescent="0.25">
      <c r="A52" s="9" t="s">
        <v>58</v>
      </c>
      <c r="B52" s="10">
        <v>4</v>
      </c>
      <c r="C52" s="10">
        <v>4</v>
      </c>
      <c r="D52" s="10">
        <v>8</v>
      </c>
    </row>
    <row r="53" spans="1:4" x14ac:dyDescent="0.25">
      <c r="A53" s="9" t="s">
        <v>59</v>
      </c>
      <c r="B53" s="10">
        <v>2</v>
      </c>
      <c r="C53" s="10">
        <v>6</v>
      </c>
      <c r="D53" s="10">
        <v>8</v>
      </c>
    </row>
    <row r="54" spans="1:4" x14ac:dyDescent="0.25">
      <c r="A54" s="9" t="s">
        <v>60</v>
      </c>
      <c r="B54" s="10">
        <v>2</v>
      </c>
      <c r="C54" s="10">
        <v>2</v>
      </c>
      <c r="D54" s="10">
        <v>4</v>
      </c>
    </row>
    <row r="55" spans="1:4" x14ac:dyDescent="0.25">
      <c r="A55" s="9" t="s">
        <v>61</v>
      </c>
      <c r="B55" s="10"/>
      <c r="C55" s="10">
        <v>1</v>
      </c>
      <c r="D55" s="10">
        <v>1</v>
      </c>
    </row>
    <row r="56" spans="1:4" x14ac:dyDescent="0.25">
      <c r="A56" s="9" t="s">
        <v>62</v>
      </c>
      <c r="B56" s="10">
        <v>4</v>
      </c>
      <c r="C56" s="10">
        <v>2</v>
      </c>
      <c r="D56" s="10">
        <v>6</v>
      </c>
    </row>
    <row r="57" spans="1:4" x14ac:dyDescent="0.25">
      <c r="A57" s="9" t="s">
        <v>63</v>
      </c>
      <c r="B57" s="10">
        <v>1</v>
      </c>
      <c r="C57" s="10">
        <v>2</v>
      </c>
      <c r="D57" s="10">
        <v>3</v>
      </c>
    </row>
    <row r="58" spans="1:4" x14ac:dyDescent="0.25">
      <c r="A58" s="9" t="s">
        <v>5</v>
      </c>
      <c r="B58" s="10">
        <v>13</v>
      </c>
      <c r="C58" s="10">
        <v>17</v>
      </c>
      <c r="D58" s="10">
        <v>30</v>
      </c>
    </row>
    <row r="70" spans="1:2" x14ac:dyDescent="0.25">
      <c r="A70" s="8" t="s">
        <v>67</v>
      </c>
      <c r="B70" s="9" t="s">
        <v>54</v>
      </c>
    </row>
    <row r="71" spans="1:2" x14ac:dyDescent="0.25">
      <c r="A71" s="9" t="s">
        <v>58</v>
      </c>
      <c r="B71" s="33">
        <v>23.125</v>
      </c>
    </row>
    <row r="72" spans="1:2" x14ac:dyDescent="0.25">
      <c r="A72" s="9" t="s">
        <v>59</v>
      </c>
      <c r="B72" s="33">
        <v>31</v>
      </c>
    </row>
    <row r="73" spans="1:2" x14ac:dyDescent="0.25">
      <c r="A73" s="9" t="s">
        <v>60</v>
      </c>
      <c r="B73" s="33">
        <v>34.5</v>
      </c>
    </row>
    <row r="74" spans="1:2" x14ac:dyDescent="0.25">
      <c r="A74" s="9" t="s">
        <v>61</v>
      </c>
      <c r="B74" s="33">
        <v>40</v>
      </c>
    </row>
    <row r="75" spans="1:2" x14ac:dyDescent="0.25">
      <c r="A75" s="9" t="s">
        <v>62</v>
      </c>
      <c r="B75" s="33">
        <v>38.666666666666664</v>
      </c>
    </row>
    <row r="76" spans="1:2" x14ac:dyDescent="0.25">
      <c r="A76" s="9" t="s">
        <v>63</v>
      </c>
      <c r="B76" s="33">
        <v>49.333333333333336</v>
      </c>
    </row>
    <row r="77" spans="1:2" x14ac:dyDescent="0.25">
      <c r="A77" s="9" t="s">
        <v>5</v>
      </c>
      <c r="B77" s="10">
        <v>33.033333333333331</v>
      </c>
    </row>
  </sheetData>
  <mergeCells count="5">
    <mergeCell ref="G22:G24"/>
    <mergeCell ref="G4:G5"/>
    <mergeCell ref="G8:G9"/>
    <mergeCell ref="G12:G14"/>
    <mergeCell ref="G17:G19"/>
  </mergeCells>
  <pageMargins left="0.511811024" right="0.511811024" top="0.78740157499999996" bottom="0.78740157499999996" header="0.31496062000000002" footer="0.31496062000000002"/>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zoomScale="82" zoomScaleNormal="82" workbookViewId="0">
      <selection activeCell="B4" sqref="B4"/>
    </sheetView>
  </sheetViews>
  <sheetFormatPr defaultRowHeight="12.5" x14ac:dyDescent="0.25"/>
  <cols>
    <col min="3" max="3" width="14.26953125" customWidth="1"/>
    <col min="5" max="5" width="15.81640625" customWidth="1"/>
    <col min="6" max="8" width="17.54296875" customWidth="1"/>
    <col min="10" max="10" width="15.1796875" customWidth="1"/>
    <col min="11" max="11" width="16.1796875" customWidth="1"/>
  </cols>
  <sheetData>
    <row r="1" spans="1:7" ht="45.75" customHeight="1" x14ac:dyDescent="0.7">
      <c r="A1" s="3" t="s">
        <v>3</v>
      </c>
      <c r="B1" s="4" t="s">
        <v>1</v>
      </c>
      <c r="C1" s="4" t="s">
        <v>0</v>
      </c>
      <c r="G1" s="1"/>
    </row>
    <row r="2" spans="1:7" x14ac:dyDescent="0.25">
      <c r="A2" s="2" t="s">
        <v>4</v>
      </c>
      <c r="B2" s="2">
        <v>12</v>
      </c>
      <c r="C2" s="2">
        <v>20</v>
      </c>
    </row>
    <row r="3" spans="1:7" x14ac:dyDescent="0.25">
      <c r="A3" s="2" t="s">
        <v>2</v>
      </c>
      <c r="B3" s="2">
        <v>13</v>
      </c>
      <c r="C3" s="2">
        <v>20</v>
      </c>
    </row>
    <row r="4" spans="1:7" x14ac:dyDescent="0.25">
      <c r="A4" s="2" t="s">
        <v>4</v>
      </c>
      <c r="B4" s="2">
        <v>13</v>
      </c>
      <c r="C4" s="2">
        <v>21</v>
      </c>
    </row>
    <row r="5" spans="1:7" x14ac:dyDescent="0.25">
      <c r="A5" s="2" t="s">
        <v>2</v>
      </c>
      <c r="B5" s="2">
        <v>13</v>
      </c>
      <c r="C5" s="2">
        <v>22</v>
      </c>
    </row>
    <row r="6" spans="1:7" x14ac:dyDescent="0.25">
      <c r="A6" s="2" t="s">
        <v>2</v>
      </c>
      <c r="B6" s="2">
        <v>14</v>
      </c>
      <c r="C6" s="2">
        <v>24</v>
      </c>
    </row>
    <row r="7" spans="1:7" x14ac:dyDescent="0.25">
      <c r="A7" s="2" t="s">
        <v>2</v>
      </c>
      <c r="B7" s="2">
        <v>15</v>
      </c>
      <c r="C7" s="2">
        <v>25</v>
      </c>
    </row>
    <row r="8" spans="1:7" x14ac:dyDescent="0.25">
      <c r="A8" s="2" t="s">
        <v>4</v>
      </c>
      <c r="B8" s="2">
        <v>16</v>
      </c>
      <c r="C8" s="2">
        <v>26</v>
      </c>
    </row>
    <row r="9" spans="1:7" x14ac:dyDescent="0.25">
      <c r="A9" s="2" t="s">
        <v>4</v>
      </c>
      <c r="B9" s="2">
        <v>15</v>
      </c>
      <c r="C9" s="2">
        <v>27</v>
      </c>
    </row>
    <row r="10" spans="1:7" x14ac:dyDescent="0.25">
      <c r="A10" s="2" t="s">
        <v>4</v>
      </c>
      <c r="B10" s="2">
        <v>17</v>
      </c>
      <c r="C10" s="2">
        <v>27</v>
      </c>
    </row>
    <row r="11" spans="1:7" x14ac:dyDescent="0.25">
      <c r="A11" s="2" t="s">
        <v>4</v>
      </c>
      <c r="B11" s="2">
        <v>18</v>
      </c>
      <c r="C11" s="2">
        <v>30</v>
      </c>
    </row>
    <row r="12" spans="1:7" x14ac:dyDescent="0.25">
      <c r="A12" s="2" t="s">
        <v>2</v>
      </c>
      <c r="B12" s="2">
        <v>18</v>
      </c>
      <c r="C12" s="2">
        <v>30</v>
      </c>
    </row>
    <row r="13" spans="1:7" x14ac:dyDescent="0.25">
      <c r="A13" s="2" t="s">
        <v>4</v>
      </c>
      <c r="B13" s="2">
        <v>19</v>
      </c>
      <c r="C13" s="2">
        <v>30</v>
      </c>
    </row>
    <row r="14" spans="1:7" x14ac:dyDescent="0.25">
      <c r="A14" s="2" t="s">
        <v>4</v>
      </c>
      <c r="B14" s="2">
        <v>20</v>
      </c>
      <c r="C14" s="2">
        <v>30</v>
      </c>
    </row>
    <row r="15" spans="1:7" x14ac:dyDescent="0.25">
      <c r="A15" s="2" t="s">
        <v>4</v>
      </c>
      <c r="B15" s="2">
        <v>20</v>
      </c>
      <c r="C15" s="2">
        <v>32</v>
      </c>
      <c r="E15" s="6"/>
      <c r="F15" s="5"/>
    </row>
    <row r="16" spans="1:7" x14ac:dyDescent="0.25">
      <c r="A16" s="2" t="s">
        <v>2</v>
      </c>
      <c r="B16" s="2">
        <v>20</v>
      </c>
      <c r="C16" s="2">
        <v>35</v>
      </c>
      <c r="E16" s="6"/>
      <c r="F16" s="5"/>
    </row>
    <row r="17" spans="1:8" x14ac:dyDescent="0.25">
      <c r="A17" s="2" t="s">
        <v>4</v>
      </c>
      <c r="B17" s="2">
        <v>21</v>
      </c>
      <c r="C17" s="2">
        <v>34</v>
      </c>
      <c r="E17" s="6"/>
      <c r="F17" s="5"/>
    </row>
    <row r="18" spans="1:8" x14ac:dyDescent="0.25">
      <c r="A18" s="2" t="s">
        <v>4</v>
      </c>
      <c r="B18" s="2">
        <v>22</v>
      </c>
      <c r="C18" s="2">
        <v>30</v>
      </c>
      <c r="F18" s="5"/>
    </row>
    <row r="19" spans="1:8" x14ac:dyDescent="0.25">
      <c r="A19" s="2" t="s">
        <v>2</v>
      </c>
      <c r="B19" s="2">
        <v>22</v>
      </c>
      <c r="C19" s="2">
        <v>30</v>
      </c>
      <c r="F19" s="5"/>
    </row>
    <row r="20" spans="1:8" x14ac:dyDescent="0.25">
      <c r="A20" s="2" t="s">
        <v>2</v>
      </c>
      <c r="B20" s="2">
        <v>23</v>
      </c>
      <c r="C20" s="2">
        <v>38</v>
      </c>
      <c r="E20" s="6"/>
      <c r="F20" s="5"/>
    </row>
    <row r="21" spans="1:8" x14ac:dyDescent="0.25">
      <c r="A21" s="2" t="s">
        <v>4</v>
      </c>
      <c r="B21" s="2">
        <v>25</v>
      </c>
      <c r="C21" s="2">
        <v>40</v>
      </c>
      <c r="E21" s="6"/>
      <c r="F21" s="5"/>
    </row>
    <row r="22" spans="1:8" x14ac:dyDescent="0.25">
      <c r="A22" s="2" t="s">
        <v>4</v>
      </c>
      <c r="B22" s="2">
        <v>30</v>
      </c>
      <c r="C22" s="2">
        <v>40</v>
      </c>
      <c r="F22" s="5"/>
    </row>
    <row r="23" spans="1:8" x14ac:dyDescent="0.25">
      <c r="A23" s="2" t="s">
        <v>4</v>
      </c>
      <c r="B23" s="2">
        <v>32</v>
      </c>
      <c r="C23" s="2">
        <v>40</v>
      </c>
      <c r="F23" s="5"/>
    </row>
    <row r="24" spans="1:8" x14ac:dyDescent="0.25">
      <c r="A24" s="2" t="s">
        <v>2</v>
      </c>
      <c r="B24" s="2">
        <v>32</v>
      </c>
      <c r="C24" s="2">
        <v>44</v>
      </c>
      <c r="F24" s="5"/>
    </row>
    <row r="25" spans="1:8" x14ac:dyDescent="0.25">
      <c r="A25" s="2" t="s">
        <v>2</v>
      </c>
      <c r="B25" s="2">
        <v>33</v>
      </c>
      <c r="C25" s="2">
        <v>36</v>
      </c>
      <c r="F25" s="5"/>
    </row>
    <row r="26" spans="1:8" x14ac:dyDescent="0.25">
      <c r="A26" s="2" t="s">
        <v>4</v>
      </c>
      <c r="B26" s="2">
        <v>33</v>
      </c>
      <c r="C26" s="2">
        <v>38</v>
      </c>
      <c r="E26" s="15"/>
      <c r="F26" s="5"/>
    </row>
    <row r="27" spans="1:8" x14ac:dyDescent="0.25">
      <c r="A27" s="2" t="s">
        <v>2</v>
      </c>
      <c r="B27" s="2">
        <v>33</v>
      </c>
      <c r="C27" s="2">
        <v>30</v>
      </c>
      <c r="D27" s="20"/>
      <c r="E27" s="21"/>
      <c r="F27" s="2" t="s">
        <v>1</v>
      </c>
      <c r="G27" s="2" t="s">
        <v>18</v>
      </c>
    </row>
    <row r="28" spans="1:8" x14ac:dyDescent="0.25">
      <c r="A28" s="2" t="s">
        <v>2</v>
      </c>
      <c r="B28" s="2">
        <v>35</v>
      </c>
      <c r="C28" s="2">
        <v>44</v>
      </c>
      <c r="E28" s="2" t="s">
        <v>29</v>
      </c>
      <c r="F28" s="17">
        <f>AVERAGE(B2:B31)</f>
        <v>23.333333333333332</v>
      </c>
      <c r="G28" s="17">
        <f>AVERAGE(C2:C31)</f>
        <v>33.033333333333331</v>
      </c>
    </row>
    <row r="29" spans="1:8" x14ac:dyDescent="0.25">
      <c r="A29" s="2" t="s">
        <v>4</v>
      </c>
      <c r="B29" s="2">
        <v>38</v>
      </c>
      <c r="C29" s="2">
        <v>48</v>
      </c>
      <c r="E29" s="2" t="s">
        <v>30</v>
      </c>
      <c r="F29" s="17" cm="1">
        <f t="array" ref="F29:F31">_xlfn.MODE.MULT(B2:B31)</f>
        <v>13</v>
      </c>
      <c r="G29" s="18" cm="1">
        <f t="array" ref="G29">_xlfn.MODE.MULT(C2:C31)</f>
        <v>30</v>
      </c>
    </row>
    <row r="30" spans="1:8" x14ac:dyDescent="0.25">
      <c r="A30" s="2" t="s">
        <v>2</v>
      </c>
      <c r="B30" s="2">
        <v>38</v>
      </c>
      <c r="C30" s="2">
        <v>40</v>
      </c>
      <c r="D30" s="20"/>
      <c r="E30" s="22"/>
      <c r="F30" s="17">
        <v>20</v>
      </c>
      <c r="G30" s="23"/>
      <c r="H30" s="15"/>
    </row>
    <row r="31" spans="1:8" x14ac:dyDescent="0.25">
      <c r="A31" s="2" t="s">
        <v>4</v>
      </c>
      <c r="B31" s="2">
        <v>40</v>
      </c>
      <c r="C31" s="2">
        <v>60</v>
      </c>
      <c r="D31" s="20"/>
      <c r="E31" s="21"/>
      <c r="F31" s="17">
        <v>33</v>
      </c>
      <c r="G31" s="24"/>
    </row>
    <row r="32" spans="1:8" x14ac:dyDescent="0.25">
      <c r="E32" s="19" t="s">
        <v>31</v>
      </c>
      <c r="F32" s="17">
        <f>MEDIAN(B2:B31)</f>
        <v>20.5</v>
      </c>
      <c r="G32" s="18">
        <f>MEDIAN(C2:C31)</f>
        <v>30</v>
      </c>
    </row>
    <row r="33" spans="5:11" x14ac:dyDescent="0.25">
      <c r="E33" s="19" t="s">
        <v>32</v>
      </c>
      <c r="F33" s="17">
        <f>_xlfn.VAR.S(B2:B31)</f>
        <v>76.16091954022987</v>
      </c>
      <c r="G33" s="17">
        <f>_xlfn.VAR.S(C2:C31)</f>
        <v>82.37816091954025</v>
      </c>
    </row>
    <row r="34" spans="5:11" x14ac:dyDescent="0.25">
      <c r="E34" s="19" t="s">
        <v>33</v>
      </c>
      <c r="F34" s="17">
        <f>_xlfn.STDEV.S(B2:B31)</f>
        <v>8.7270223753712166</v>
      </c>
      <c r="G34" s="17">
        <f>_xlfn.STDEV.S(C2:C31)</f>
        <v>9.0762415635294911</v>
      </c>
    </row>
    <row r="35" spans="5:11" x14ac:dyDescent="0.25">
      <c r="E35" s="19" t="s">
        <v>34</v>
      </c>
      <c r="F35" s="26">
        <f>F34/F28 * 100</f>
        <v>37.401524465876648</v>
      </c>
      <c r="G35" s="26">
        <f>G34/G28*100</f>
        <v>27.476008769514102</v>
      </c>
    </row>
    <row r="36" spans="5:11" x14ac:dyDescent="0.25">
      <c r="E36" s="6"/>
      <c r="F36" s="5"/>
    </row>
    <row r="38" spans="5:11" x14ac:dyDescent="0.25">
      <c r="J38" s="2" t="s">
        <v>35</v>
      </c>
      <c r="K38" s="2">
        <v>12</v>
      </c>
    </row>
    <row r="39" spans="5:11" x14ac:dyDescent="0.25">
      <c r="J39" s="2" t="s">
        <v>36</v>
      </c>
      <c r="K39" s="2">
        <v>15.75</v>
      </c>
    </row>
    <row r="40" spans="5:11" x14ac:dyDescent="0.25">
      <c r="J40" s="2" t="s">
        <v>37</v>
      </c>
      <c r="K40" s="2">
        <v>20.5</v>
      </c>
    </row>
    <row r="41" spans="5:11" x14ac:dyDescent="0.25">
      <c r="J41" s="2" t="s">
        <v>38</v>
      </c>
      <c r="K41" s="2">
        <v>32.5</v>
      </c>
    </row>
    <row r="42" spans="5:11" x14ac:dyDescent="0.25">
      <c r="J42" s="2" t="s">
        <v>39</v>
      </c>
      <c r="K42" s="2">
        <v>40</v>
      </c>
    </row>
    <row r="55" spans="10:12" x14ac:dyDescent="0.25">
      <c r="J55" s="2" t="s">
        <v>35</v>
      </c>
      <c r="K55" s="2">
        <v>20</v>
      </c>
    </row>
    <row r="56" spans="10:12" x14ac:dyDescent="0.25">
      <c r="J56" s="2" t="s">
        <v>36</v>
      </c>
      <c r="K56" s="2">
        <v>26.75</v>
      </c>
    </row>
    <row r="57" spans="10:12" x14ac:dyDescent="0.25">
      <c r="J57" s="2" t="s">
        <v>37</v>
      </c>
      <c r="K57" s="2">
        <v>30</v>
      </c>
    </row>
    <row r="58" spans="10:12" x14ac:dyDescent="0.25">
      <c r="J58" s="2" t="s">
        <v>38</v>
      </c>
      <c r="K58" s="2">
        <v>40</v>
      </c>
    </row>
    <row r="59" spans="10:12" x14ac:dyDescent="0.25">
      <c r="J59" s="2" t="s">
        <v>39</v>
      </c>
      <c r="K59" s="2">
        <v>48</v>
      </c>
    </row>
    <row r="60" spans="10:12" x14ac:dyDescent="0.25">
      <c r="J60" s="7"/>
      <c r="K60" s="7"/>
    </row>
    <row r="61" spans="10:12" x14ac:dyDescent="0.25">
      <c r="J61" s="2" t="s">
        <v>40</v>
      </c>
      <c r="K61" s="25">
        <f>STANDARDIZE(K59,G28,G34)</f>
        <v>1.6489938662283201</v>
      </c>
      <c r="L61" s="16" t="s">
        <v>41</v>
      </c>
    </row>
  </sheetData>
  <phoneticPr fontId="2" type="noConversion"/>
  <pageMargins left="0.78740157499999996" right="0.78740157499999996" top="0.984251969" bottom="0.984251969" header="0.49212598499999999" footer="0.49212598499999999"/>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Sexo</vt:lpstr>
      <vt:lpstr>idade</vt:lpstr>
      <vt:lpstr>tempo de acesso</vt:lpstr>
      <vt:lpstr>Parte 2</vt:lpstr>
      <vt:lpstr>Amostra</vt:lpstr>
    </vt:vector>
  </TitlesOfParts>
  <Company>Fatec São José do Rio Preto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Agronegócios</dc:creator>
  <cp:lastModifiedBy>Aluno</cp:lastModifiedBy>
  <cp:lastPrinted>2019-09-30T13:53:58Z</cp:lastPrinted>
  <dcterms:created xsi:type="dcterms:W3CDTF">2011-11-04T22:01:52Z</dcterms:created>
  <dcterms:modified xsi:type="dcterms:W3CDTF">2026-04-29T14:03:54Z</dcterms:modified>
</cp:coreProperties>
</file>