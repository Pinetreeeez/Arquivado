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44334AEB-5F78-48F1-86FA-BCFA5F99E14B}" xr6:coauthVersionLast="47" xr6:coauthVersionMax="47" xr10:uidLastSave="{00000000-0000-0000-0000-000000000000}"/>
  <bookViews>
    <workbookView xWindow="-110" yWindow="-110" windowWidth="19420" windowHeight="10420" xr2:uid="{DE991BD9-D963-4C6D-9D4C-61E75807FA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" i="1" l="1"/>
  <c r="H19" i="1" a="1"/>
  <c r="H19" i="1" s="1"/>
  <c r="H18" i="1"/>
  <c r="H17" i="1"/>
  <c r="B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<sst xmlns="http://schemas.openxmlformats.org/spreadsheetml/2006/main" count="9" uniqueCount="8">
  <si>
    <t>X</t>
  </si>
  <si>
    <t>Y</t>
  </si>
  <si>
    <t>Coeficiente de correlação r</t>
  </si>
  <si>
    <t>Correlação linear positiva forte</t>
  </si>
  <si>
    <t>a</t>
  </si>
  <si>
    <t>b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</si>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</sst>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Requisições</a:t>
            </a:r>
            <a:r>
              <a:rPr lang="pt-BR" baseline="0"/>
              <a:t> X Tempo de Resposta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Planilha1!$C$2:$C$7</c:f>
              <c:numCache>
                <c:formatCode>General</c:formatCode>
                <c:ptCount val="6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</c:numCache>
            </c:numRef>
          </c:xVal>
          <c:yVal>
            <c:numRef>
              <c:f>Planilha1!$D$2:$D$7</c:f>
              <c:numCache>
                <c:formatCode>General</c:formatCode>
                <c:ptCount val="6"/>
                <c:pt idx="0">
                  <c:v>50</c:v>
                </c:pt>
                <c:pt idx="1">
                  <c:v>80</c:v>
                </c:pt>
                <c:pt idx="2">
                  <c:v>130</c:v>
                </c:pt>
                <c:pt idx="3">
                  <c:v>190</c:v>
                </c:pt>
                <c:pt idx="4">
                  <c:v>260</c:v>
                </c:pt>
                <c:pt idx="5">
                  <c:v>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1A-4E94-B836-D8D4956DC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03887"/>
        <c:axId val="169307247"/>
      </c:scatterChart>
      <c:valAx>
        <c:axId val="16930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307247"/>
        <c:crosses val="autoZero"/>
        <c:crossBetween val="midCat"/>
      </c:valAx>
      <c:valAx>
        <c:axId val="16930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30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0</xdr:row>
      <xdr:rowOff>146050</xdr:rowOff>
    </xdr:from>
    <xdr:to>
      <xdr:col>13</xdr:col>
      <xdr:colOff>542925</xdr:colOff>
      <xdr:row>14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D8EC6A-212B-6455-5F9C-A145AB29C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F3E8D-C1C9-4395-BC37-F13F1CA2B2EC}">
  <dimension ref="A1:I19"/>
  <sheetViews>
    <sheetView tabSelected="1" topLeftCell="A4" workbookViewId="0">
      <selection activeCell="D16" sqref="D16"/>
    </sheetView>
  </sheetViews>
  <sheetFormatPr defaultRowHeight="14.5" x14ac:dyDescent="0.35"/>
  <cols>
    <col min="1" max="1" width="15.453125" customWidth="1"/>
  </cols>
  <sheetData>
    <row r="1" spans="1:4" x14ac:dyDescent="0.35">
      <c r="C1" s="2" t="s">
        <v>0</v>
      </c>
      <c r="D1" s="2" t="s">
        <v>1</v>
      </c>
    </row>
    <row r="2" spans="1:4" x14ac:dyDescent="0.35">
      <c r="C2" s="5">
        <v>100</v>
      </c>
      <c r="D2" s="3">
        <v>50</v>
      </c>
    </row>
    <row r="3" spans="1:4" x14ac:dyDescent="0.35">
      <c r="C3" s="6">
        <v>200</v>
      </c>
      <c r="D3" s="3">
        <v>80</v>
      </c>
    </row>
    <row r="4" spans="1:4" x14ac:dyDescent="0.35">
      <c r="C4" s="6">
        <v>300</v>
      </c>
      <c r="D4" s="3">
        <v>130</v>
      </c>
    </row>
    <row r="5" spans="1:4" x14ac:dyDescent="0.35">
      <c r="C5" s="6">
        <v>400</v>
      </c>
      <c r="D5" s="3">
        <v>190</v>
      </c>
    </row>
    <row r="6" spans="1:4" x14ac:dyDescent="0.35">
      <c r="C6" s="6">
        <v>500</v>
      </c>
      <c r="D6" s="3">
        <v>260</v>
      </c>
    </row>
    <row r="7" spans="1:4" x14ac:dyDescent="0.35">
      <c r="C7" s="7">
        <v>600</v>
      </c>
      <c r="D7" s="4">
        <v>350</v>
      </c>
    </row>
    <row r="8" spans="1:4" x14ac:dyDescent="0.35">
      <c r="C8" s="1"/>
      <c r="D8" s="1"/>
    </row>
    <row r="9" spans="1:4" ht="29" x14ac:dyDescent="0.35">
      <c r="A9" s="8" t="s">
        <v>2</v>
      </c>
      <c r="B9">
        <f>CORREL(C2:C7,D2:D7)</f>
        <v>0.98652089736988169</v>
      </c>
      <c r="C9" t="s">
        <v>3</v>
      </c>
    </row>
    <row r="17" spans="3:9" x14ac:dyDescent="0.35">
      <c r="G17" t="s">
        <v>4</v>
      </c>
      <c r="H17">
        <f>SLOPE(D2:D7,C2:C7)</f>
        <v>0.6</v>
      </c>
    </row>
    <row r="18" spans="3:9" x14ac:dyDescent="0.35">
      <c r="C18" t="s">
        <v>7</v>
      </c>
      <c r="D18" t="s">
        <v>6</v>
      </c>
      <c r="G18" t="s">
        <v>5</v>
      </c>
      <c r="H18" s="9">
        <f>INTERCEPT(D2:D7,C2:C7)</f>
        <v>-33.333333333333343</v>
      </c>
    </row>
    <row r="19" spans="3:9" x14ac:dyDescent="0.35">
      <c r="C19">
        <v>700</v>
      </c>
      <c r="D19">
        <f>H17*700+H18</f>
        <v>386.66666666666663</v>
      </c>
      <c r="G19" t="s">
        <v>6</v>
      </c>
      <c r="H19" cm="1">
        <f t="array" ref="H19:I19">LINEST(D2:D7,C2:C7)</f>
        <v>0.6</v>
      </c>
      <c r="I19">
        <v>-33.333333333333343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2026-05-05T14:28:47Z</dcterms:created>
  <dcterms:modified xsi:type="dcterms:W3CDTF">2026-05-05T14:52:51Z</dcterms:modified>
</cp:coreProperties>
</file>