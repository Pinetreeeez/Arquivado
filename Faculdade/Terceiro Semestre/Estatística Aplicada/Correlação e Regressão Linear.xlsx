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5511E723-4AE6-48F7-99D3-DA802469E02E}" xr6:coauthVersionLast="47" xr6:coauthVersionMax="47" xr10:uidLastSave="{00000000-0000-0000-0000-000000000000}"/>
  <bookViews>
    <workbookView xWindow="-110" yWindow="-110" windowWidth="19420" windowHeight="10420" xr2:uid="{DE991BD9-D963-4C6D-9D4C-61E75807FA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0" i="1" l="1" a="1"/>
  <c r="F40" i="1" s="1"/>
  <c r="B52" i="1"/>
  <c r="F30" i="1"/>
  <c r="F29" i="1"/>
  <c r="B34" i="1"/>
  <c r="F24" i="1" a="1"/>
  <c r="F24" i="1" s="1"/>
  <c r="Q12" i="1"/>
  <c r="C13" i="1" a="1"/>
  <c r="C13" i="1" s="1"/>
  <c r="C12" i="1"/>
  <c r="C11" i="1"/>
  <c r="B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<sst xmlns="http://schemas.openxmlformats.org/spreadsheetml/2006/main" count="35" uniqueCount="22">
  <si>
    <t>X</t>
  </si>
  <si>
    <t>Y</t>
  </si>
  <si>
    <t>Coeficiente de correlação r</t>
  </si>
  <si>
    <t>Correlação linear positiva forte</t>
  </si>
  <si>
    <t>a</t>
  </si>
  <si>
    <t>b</t>
  </si>
  <si>
    <t>y</t>
  </si>
  <si>
    <t>x</t>
  </si>
  <si>
    <t>Módulo</t>
  </si>
  <si>
    <t>Auth</t>
  </si>
  <si>
    <t>API</t>
  </si>
  <si>
    <t>DB</t>
  </si>
  <si>
    <t>UI</t>
  </si>
  <si>
    <t>Cache</t>
  </si>
  <si>
    <t>Reports</t>
  </si>
  <si>
    <t>Complexidade (x)</t>
  </si>
  <si>
    <t>Bugs (y)</t>
  </si>
  <si>
    <t>y        =</t>
  </si>
  <si>
    <t>A.x + B</t>
  </si>
  <si>
    <t>&lt; - - - -</t>
  </si>
  <si>
    <t>Usuários (x)</t>
  </si>
  <si>
    <t>Banda (y)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</si>
</sst>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Requisições</a:t>
            </a:r>
            <a:r>
              <a:rPr lang="pt-BR" baseline="0"/>
              <a:t> X Tempo de Resposta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Planilha1!$C$2:$C$7</c:f>
              <c:numCache>
                <c:formatCode>General</c:formatCode>
                <c:ptCount val="6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</c:numCache>
            </c:numRef>
          </c:xVal>
          <c:yVal>
            <c:numRef>
              <c:f>Planilha1!$D$2:$D$7</c:f>
              <c:numCache>
                <c:formatCode>General</c:formatCode>
                <c:ptCount val="6"/>
                <c:pt idx="0">
                  <c:v>50</c:v>
                </c:pt>
                <c:pt idx="1">
                  <c:v>80</c:v>
                </c:pt>
                <c:pt idx="2">
                  <c:v>130</c:v>
                </c:pt>
                <c:pt idx="3">
                  <c:v>190</c:v>
                </c:pt>
                <c:pt idx="4">
                  <c:v>260</c:v>
                </c:pt>
                <c:pt idx="5">
                  <c:v>350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1A-4E94-B836-D8D4956D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03887"/>
        <c:axId val="169307247"/>
      </c:scatterChart>
      <c:valAx>
        <c:axId val="16930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307247"/>
        <c:crosses val="autoZero"/>
        <c:crossBetween val="midCat"/>
      </c:valAx>
      <c:valAx>
        <c:axId val="16930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30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Complexidade x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Planilha1!$B$22:$B$27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15</c:v>
                </c:pt>
              </c:numCache>
            </c:numRef>
          </c:xVal>
          <c:yVal>
            <c:numRef>
              <c:f>Planilha1!$C$22:$C$27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87-48E3-ABC4-FC4AA4E9F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2263344"/>
        <c:axId val="842252784"/>
      </c:scatterChart>
      <c:valAx>
        <c:axId val="8422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2252784"/>
        <c:crosses val="autoZero"/>
        <c:crossBetween val="midCat"/>
      </c:valAx>
      <c:valAx>
        <c:axId val="84225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22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Usuários x Banda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Planilha1!$B$40:$B$50</c:f>
              <c:numCache>
                <c:formatCode>General</c:formatCode>
                <c:ptCount val="11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</c:numCache>
            </c:numRef>
          </c:xVal>
          <c:yVal>
            <c:numRef>
              <c:f>Planilha1!$C$40:$C$50</c:f>
              <c:numCache>
                <c:formatCode>General</c:formatCode>
                <c:ptCount val="11"/>
                <c:pt idx="0">
                  <c:v>110</c:v>
                </c:pt>
                <c:pt idx="1">
                  <c:v>165</c:v>
                </c:pt>
                <c:pt idx="2">
                  <c:v>200</c:v>
                </c:pt>
                <c:pt idx="3">
                  <c:v>280</c:v>
                </c:pt>
                <c:pt idx="4">
                  <c:v>380</c:v>
                </c:pt>
                <c:pt idx="5">
                  <c:v>490</c:v>
                </c:pt>
                <c:pt idx="6">
                  <c:v>560</c:v>
                </c:pt>
                <c:pt idx="7">
                  <c:v>600</c:v>
                </c:pt>
                <c:pt idx="8">
                  <c:v>700</c:v>
                </c:pt>
                <c:pt idx="9">
                  <c:v>830</c:v>
                </c:pt>
                <c:pt idx="10">
                  <c:v>1290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D6-4ABE-B7B0-C258264D5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7122912"/>
        <c:axId val="847142592"/>
      </c:scatterChart>
      <c:valAx>
        <c:axId val="84712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7142592"/>
        <c:crosses val="autoZero"/>
        <c:crossBetween val="midCat"/>
      </c:valAx>
      <c:valAx>
        <c:axId val="84714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712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0</xdr:row>
      <xdr:rowOff>146050</xdr:rowOff>
    </xdr:from>
    <xdr:to>
      <xdr:col>13</xdr:col>
      <xdr:colOff>542925</xdr:colOff>
      <xdr:row>14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7D8EC6A-212B-6455-5F9C-A145AB29CF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19</xdr:row>
      <xdr:rowOff>25400</xdr:rowOff>
    </xdr:from>
    <xdr:to>
      <xdr:col>17</xdr:col>
      <xdr:colOff>352425</xdr:colOff>
      <xdr:row>32</xdr:row>
      <xdr:rowOff>6350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9E983A7-D815-4520-A564-90CCA9CF1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288925</xdr:colOff>
      <xdr:row>38</xdr:row>
      <xdr:rowOff>50800</xdr:rowOff>
    </xdr:from>
    <xdr:to>
      <xdr:col>14</xdr:col>
      <xdr:colOff>593725</xdr:colOff>
      <xdr:row>52</xdr:row>
      <xdr:rowOff>31750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FD63862-9924-6F9C-D4F1-0929EDAD4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F3E8D-C1C9-4395-BC37-F13F1CA2B2EC}">
  <dimension ref="A1:Q52"/>
  <sheetViews>
    <sheetView tabSelected="1" topLeftCell="A36" workbookViewId="0">
      <selection activeCell="E46" sqref="E46"/>
    </sheetView>
  </sheetViews>
  <sheetFormatPr defaultRowHeight="14.5" x14ac:dyDescent="0.35"/>
  <cols>
    <col min="1" max="1" width="15.453125" customWidth="1"/>
    <col min="2" max="2" width="10.7265625" customWidth="1"/>
  </cols>
  <sheetData>
    <row r="1" spans="1:17" x14ac:dyDescent="0.35">
      <c r="C1" s="2" t="s">
        <v>0</v>
      </c>
      <c r="D1" s="2" t="s">
        <v>1</v>
      </c>
    </row>
    <row r="2" spans="1:17" x14ac:dyDescent="0.35">
      <c r="C2" s="5">
        <v>100</v>
      </c>
      <c r="D2" s="3">
        <v>50</v>
      </c>
    </row>
    <row r="3" spans="1:17" x14ac:dyDescent="0.35">
      <c r="C3" s="6">
        <v>200</v>
      </c>
      <c r="D3" s="3">
        <v>80</v>
      </c>
    </row>
    <row r="4" spans="1:17" x14ac:dyDescent="0.35">
      <c r="C4" s="6">
        <v>300</v>
      </c>
      <c r="D4" s="3">
        <v>130</v>
      </c>
    </row>
    <row r="5" spans="1:17" x14ac:dyDescent="0.35">
      <c r="C5" s="6">
        <v>400</v>
      </c>
      <c r="D5" s="3">
        <v>190</v>
      </c>
    </row>
    <row r="6" spans="1:17" x14ac:dyDescent="0.35">
      <c r="C6" s="6">
        <v>500</v>
      </c>
      <c r="D6" s="3">
        <v>260</v>
      </c>
    </row>
    <row r="7" spans="1:17" x14ac:dyDescent="0.35">
      <c r="C7" s="7">
        <v>600</v>
      </c>
      <c r="D7" s="4">
        <v>350</v>
      </c>
    </row>
    <row r="8" spans="1:17" x14ac:dyDescent="0.35">
      <c r="C8" s="1"/>
      <c r="D8" s="1"/>
    </row>
    <row r="9" spans="1:17" ht="29" x14ac:dyDescent="0.35">
      <c r="A9" s="8" t="s">
        <v>2</v>
      </c>
      <c r="B9">
        <f>CORREL(C2:C7,D2:D7)</f>
        <v>0.98652089736988169</v>
      </c>
      <c r="C9" t="s">
        <v>3</v>
      </c>
    </row>
    <row r="11" spans="1:17" x14ac:dyDescent="0.35">
      <c r="B11" t="s">
        <v>4</v>
      </c>
      <c r="C11">
        <f>SLOPE(D2:D7,C2:C7)</f>
        <v>0.6</v>
      </c>
      <c r="P11" t="s">
        <v>7</v>
      </c>
      <c r="Q11" t="s">
        <v>6</v>
      </c>
    </row>
    <row r="12" spans="1:17" x14ac:dyDescent="0.35">
      <c r="B12" t="s">
        <v>5</v>
      </c>
      <c r="C12" s="9">
        <f>INTERCEPT(D2:D7,C2:C7)</f>
        <v>-33.333333333333343</v>
      </c>
      <c r="P12">
        <v>700</v>
      </c>
      <c r="Q12">
        <f>C11*700+C12</f>
        <v>386.66666666666663</v>
      </c>
    </row>
    <row r="13" spans="1:17" x14ac:dyDescent="0.35">
      <c r="B13" t="s">
        <v>6</v>
      </c>
      <c r="C13" cm="1">
        <f t="array" ref="C13:D13">LINEST(D2:D7,C2:C7)</f>
        <v>0.6</v>
      </c>
      <c r="D13">
        <v>-33.333333333333343</v>
      </c>
    </row>
    <row r="21" spans="1:10" ht="29" x14ac:dyDescent="0.35">
      <c r="A21" s="1" t="s">
        <v>8</v>
      </c>
      <c r="B21" s="11" t="s">
        <v>15</v>
      </c>
      <c r="C21" s="1" t="s">
        <v>16</v>
      </c>
      <c r="E21" s="1"/>
      <c r="F21" s="1"/>
    </row>
    <row r="22" spans="1:10" x14ac:dyDescent="0.35">
      <c r="A22" s="1" t="s">
        <v>9</v>
      </c>
      <c r="B22" s="1">
        <v>3</v>
      </c>
      <c r="C22" s="1">
        <v>2</v>
      </c>
    </row>
    <row r="23" spans="1:10" x14ac:dyDescent="0.35">
      <c r="A23" s="1" t="s">
        <v>10</v>
      </c>
      <c r="B23" s="1">
        <v>5</v>
      </c>
      <c r="C23" s="1">
        <v>4</v>
      </c>
      <c r="F23" s="1" t="s">
        <v>4</v>
      </c>
      <c r="G23" s="1" t="s">
        <v>5</v>
      </c>
    </row>
    <row r="24" spans="1:10" x14ac:dyDescent="0.35">
      <c r="A24" s="1" t="s">
        <v>11</v>
      </c>
      <c r="B24" s="1">
        <v>8</v>
      </c>
      <c r="C24" s="1">
        <v>7</v>
      </c>
      <c r="E24" s="1" t="s">
        <v>6</v>
      </c>
      <c r="F24" cm="1">
        <f t="array" ref="F24:G24">LINEST(C22:C27,B22:B27)</f>
        <v>0.93760539629005069</v>
      </c>
      <c r="G24">
        <v>-0.6155143338954483</v>
      </c>
    </row>
    <row r="25" spans="1:10" x14ac:dyDescent="0.35">
      <c r="A25" s="1" t="s">
        <v>12</v>
      </c>
      <c r="B25" s="1">
        <v>10</v>
      </c>
      <c r="C25" s="1">
        <v>9</v>
      </c>
    </row>
    <row r="26" spans="1:10" x14ac:dyDescent="0.35">
      <c r="A26" s="1" t="s">
        <v>13</v>
      </c>
      <c r="B26" s="1">
        <v>12</v>
      </c>
      <c r="C26" s="1">
        <v>11</v>
      </c>
    </row>
    <row r="27" spans="1:10" x14ac:dyDescent="0.35">
      <c r="A27" s="1" t="s">
        <v>14</v>
      </c>
      <c r="B27" s="1">
        <v>15</v>
      </c>
      <c r="C27" s="1">
        <v>13</v>
      </c>
    </row>
    <row r="28" spans="1:10" x14ac:dyDescent="0.35">
      <c r="E28" s="1" t="s">
        <v>7</v>
      </c>
      <c r="F28" s="1" t="s">
        <v>6</v>
      </c>
    </row>
    <row r="29" spans="1:10" x14ac:dyDescent="0.35">
      <c r="E29" s="1">
        <v>14</v>
      </c>
      <c r="F29" s="1">
        <f>F24 * 14 +G24</f>
        <v>12.51096121416526</v>
      </c>
      <c r="H29" t="s">
        <v>19</v>
      </c>
      <c r="I29" s="10" t="s">
        <v>17</v>
      </c>
      <c r="J29" s="10" t="s">
        <v>18</v>
      </c>
    </row>
    <row r="30" spans="1:10" x14ac:dyDescent="0.35">
      <c r="E30" s="1">
        <v>18</v>
      </c>
      <c r="F30" s="1">
        <f>F24* 18 +G24</f>
        <v>16.261382799325464</v>
      </c>
    </row>
    <row r="34" spans="1:7" ht="29" x14ac:dyDescent="0.35">
      <c r="A34" s="8" t="s">
        <v>2</v>
      </c>
      <c r="B34">
        <f>CORREL(B22:B27,C22:C27)</f>
        <v>0.99742856441033245</v>
      </c>
      <c r="C34" t="s">
        <v>3</v>
      </c>
    </row>
    <row r="39" spans="1:7" x14ac:dyDescent="0.35">
      <c r="B39" s="1" t="s">
        <v>20</v>
      </c>
      <c r="C39" s="1" t="s">
        <v>21</v>
      </c>
      <c r="F39" s="1" t="s">
        <v>4</v>
      </c>
      <c r="G39" s="1" t="s">
        <v>5</v>
      </c>
    </row>
    <row r="40" spans="1:7" x14ac:dyDescent="0.35">
      <c r="B40" s="1">
        <v>50</v>
      </c>
      <c r="C40" s="1">
        <v>110</v>
      </c>
      <c r="E40" s="1" t="s">
        <v>6</v>
      </c>
      <c r="F40" s="1" cm="1">
        <f t="array" ref="F40:G40">LINEST(C40:C50,B40:B50)</f>
        <v>2.1330879577198942</v>
      </c>
      <c r="G40" s="1">
        <v>-39.239901849754517</v>
      </c>
    </row>
    <row r="41" spans="1:7" x14ac:dyDescent="0.35">
      <c r="B41" s="1">
        <v>80</v>
      </c>
      <c r="C41" s="1">
        <v>165</v>
      </c>
    </row>
    <row r="42" spans="1:7" x14ac:dyDescent="0.35">
      <c r="B42" s="1">
        <v>100</v>
      </c>
      <c r="C42" s="1">
        <v>200</v>
      </c>
    </row>
    <row r="43" spans="1:7" x14ac:dyDescent="0.35">
      <c r="B43" s="1">
        <v>150</v>
      </c>
      <c r="C43" s="1">
        <v>280</v>
      </c>
    </row>
    <row r="44" spans="1:7" x14ac:dyDescent="0.35">
      <c r="B44" s="1">
        <v>200</v>
      </c>
      <c r="C44" s="1">
        <v>380</v>
      </c>
    </row>
    <row r="45" spans="1:7" x14ac:dyDescent="0.35">
      <c r="B45" s="1">
        <v>250</v>
      </c>
      <c r="C45" s="1">
        <v>490</v>
      </c>
    </row>
    <row r="46" spans="1:7" x14ac:dyDescent="0.35">
      <c r="B46" s="1">
        <v>300</v>
      </c>
      <c r="C46" s="1">
        <v>560</v>
      </c>
      <c r="E46" t="s">
        <v>7</v>
      </c>
    </row>
    <row r="47" spans="1:7" x14ac:dyDescent="0.35">
      <c r="B47" s="1">
        <v>350</v>
      </c>
      <c r="C47" s="1">
        <v>600</v>
      </c>
    </row>
    <row r="48" spans="1:7" x14ac:dyDescent="0.35">
      <c r="B48" s="1">
        <v>400</v>
      </c>
      <c r="C48" s="1">
        <v>700</v>
      </c>
    </row>
    <row r="49" spans="1:3" x14ac:dyDescent="0.35">
      <c r="B49" s="1">
        <v>450</v>
      </c>
      <c r="C49" s="1">
        <v>830</v>
      </c>
    </row>
    <row r="50" spans="1:3" x14ac:dyDescent="0.35">
      <c r="B50" s="1">
        <v>500</v>
      </c>
      <c r="C50" s="1">
        <v>1290</v>
      </c>
    </row>
    <row r="52" spans="1:3" ht="29" x14ac:dyDescent="0.35">
      <c r="A52" s="8" t="s">
        <v>2</v>
      </c>
      <c r="B52">
        <f>CORREL(B40:B50,C40:C50)</f>
        <v>0.95444869337328408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Centro Paula Souza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Aluno</cp:lastModifiedBy>
  <dcterms:created xsi:type="dcterms:W3CDTF">2026-05-05T14:28:47Z</dcterms:created>
  <dcterms:modified xsi:type="dcterms:W3CDTF">2026-05-06T13:52:18Z</dcterms:modified>
</cp:coreProperties>
</file>