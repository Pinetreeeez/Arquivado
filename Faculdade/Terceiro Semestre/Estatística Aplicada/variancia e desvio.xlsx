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DBA33107-B2E8-4DBD-A7FE-12296A6AFE8E}" xr6:coauthVersionLast="47" xr6:coauthVersionMax="47" xr10:uidLastSave="{00000000-0000-0000-0000-000000000000}"/>
  <bookViews>
    <workbookView xWindow="-110" yWindow="-110" windowWidth="19420" windowHeight="10420" xr2:uid="{A9E8B52A-8DDC-4E6E-9CA7-C29ED1AF50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" l="1"/>
  <c r="G8" i="1"/>
  <c r="H7" i="1"/>
  <c r="G7" i="1"/>
  <c r="H5" i="1" a="1"/>
  <c r="H5" i="1" s="1"/>
  <c r="G5" i="1" a="1"/>
  <c r="G5" i="1" s="1"/>
  <c r="H4" i="1"/>
  <c r="G4" i="1"/>
  <c r="H3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<sst xmlns="http://schemas.openxmlformats.org/spreadsheetml/2006/main" count="9" uniqueCount="9">
  <si>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Modelo 1</t>
  </si>
  <si>
    <t>Modelo 2</t>
  </si>
  <si>
    <t>Média</t>
  </si>
  <si>
    <t>M1</t>
  </si>
  <si>
    <t>M2</t>
  </si>
  <si>
    <t>Mediana</t>
  </si>
  <si>
    <t>Moda</t>
  </si>
  <si>
    <t>Variância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</si>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</sst>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B34D-2F21-4D40-AFF6-4E8D73B77150}">
  <dimension ref="B2:H12"/>
  <sheetViews>
    <sheetView tabSelected="1" workbookViewId="0">
      <selection activeCell="H8" sqref="H8"/>
    </sheetView>
  </sheetViews>
  <sheetFormatPr defaultRowHeight="14.5" x14ac:dyDescent="0.35"/>
  <cols>
    <col min="6" max="6" width="12.36328125" customWidth="1"/>
  </cols>
  <sheetData>
    <row r="2" spans="2:8" x14ac:dyDescent="0.35">
      <c r="B2" t="s">
        <v>0</v>
      </c>
      <c r="D2" t="s">
        <v>1</v>
      </c>
      <c r="G2" s="1" t="s">
        <v>3</v>
      </c>
      <c r="H2" s="1" t="s">
        <v>4</v>
      </c>
    </row>
    <row r="3" spans="2:8" x14ac:dyDescent="0.35">
      <c r="B3" s="1">
        <v>6.5</v>
      </c>
      <c r="C3" s="1"/>
      <c r="D3" s="1">
        <v>4.2</v>
      </c>
      <c r="F3" s="1" t="s">
        <v>2</v>
      </c>
      <c r="G3" s="1">
        <f>AVERAGE(B3:B12)</f>
        <v>7.15</v>
      </c>
      <c r="H3" s="1">
        <f>AVERAGE(D3:D12)</f>
        <v>7.15</v>
      </c>
    </row>
    <row r="4" spans="2:8" x14ac:dyDescent="0.35">
      <c r="B4" s="1">
        <v>6.6</v>
      </c>
      <c r="C4" s="1"/>
      <c r="D4" s="1">
        <v>5.4</v>
      </c>
      <c r="F4" s="1" t="s">
        <v>5</v>
      </c>
      <c r="G4" s="1">
        <f>MEDIAN(B3:B12)</f>
        <v>7.1999999999999993</v>
      </c>
      <c r="H4" s="1">
        <f>MEDIAN(D3:D12)</f>
        <v>7.2</v>
      </c>
    </row>
    <row r="5" spans="2:8" x14ac:dyDescent="0.35">
      <c r="B5" s="1">
        <v>6.7</v>
      </c>
      <c r="C5" s="1"/>
      <c r="D5" s="1">
        <v>5.8</v>
      </c>
      <c r="F5" s="1" t="s">
        <v>6</v>
      </c>
      <c r="G5" s="1" cm="1">
        <f t="array" ref="G5">_xlfn.MODE.MULT(B3:B12)</f>
        <v>7.7</v>
      </c>
      <c r="H5" s="1" cm="1">
        <f t="array" ref="H5">_xlfn.MODE.MULT(D3:D12)</f>
        <v>7.7</v>
      </c>
    </row>
    <row r="6" spans="2:8" x14ac:dyDescent="0.35">
      <c r="B6" s="1">
        <v>6.8</v>
      </c>
      <c r="C6" s="1"/>
      <c r="D6" s="1">
        <v>6.2</v>
      </c>
    </row>
    <row r="7" spans="2:8" x14ac:dyDescent="0.35">
      <c r="B7" s="1">
        <v>7.1</v>
      </c>
      <c r="C7" s="1"/>
      <c r="D7" s="1">
        <v>6.7</v>
      </c>
      <c r="F7" s="1" t="s">
        <v>7</v>
      </c>
      <c r="G7" s="3">
        <f>_xlfn.VAR.S(B3:B12)</f>
        <v>0.22722222222222233</v>
      </c>
      <c r="H7" s="3">
        <f>VARA(D3:D12)</f>
        <v>3.3183333333333342</v>
      </c>
    </row>
    <row r="8" spans="2:8" x14ac:dyDescent="0.35">
      <c r="B8" s="1">
        <v>7.3</v>
      </c>
      <c r="C8" s="1"/>
      <c r="D8" s="1">
        <v>7.7</v>
      </c>
      <c r="F8" s="1" t="s">
        <v>8</v>
      </c>
      <c r="G8" s="2">
        <f>_xlfn.STDEV.S(B3:B12)</f>
        <v>0.4766783215358365</v>
      </c>
      <c r="H8" s="2">
        <f>_xlfn.STDEV.S(D3:D12)</f>
        <v>1.8216293073326786</v>
      </c>
    </row>
    <row r="9" spans="2:8" x14ac:dyDescent="0.35">
      <c r="B9" s="1">
        <v>7.4</v>
      </c>
      <c r="C9" s="1"/>
      <c r="D9" s="1">
        <v>7.7</v>
      </c>
    </row>
    <row r="10" spans="2:8" x14ac:dyDescent="0.35">
      <c r="B10" s="1">
        <v>7.7</v>
      </c>
      <c r="C10" s="1"/>
      <c r="D10" s="1">
        <v>8.5</v>
      </c>
    </row>
    <row r="11" spans="2:8" x14ac:dyDescent="0.35">
      <c r="B11" s="1">
        <v>7.7</v>
      </c>
      <c r="C11" s="1"/>
      <c r="D11" s="1">
        <v>9.3000000000000007</v>
      </c>
    </row>
    <row r="12" spans="2:8" x14ac:dyDescent="0.35">
      <c r="B12" s="1">
        <v>7.7</v>
      </c>
      <c r="C12" s="1"/>
      <c r="D12" s="1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2026-03-25T13:29:15Z</dcterms:created>
  <dcterms:modified xsi:type="dcterms:W3CDTF">2026-03-25T14:16:27Z</dcterms:modified>
</cp:coreProperties>
</file>