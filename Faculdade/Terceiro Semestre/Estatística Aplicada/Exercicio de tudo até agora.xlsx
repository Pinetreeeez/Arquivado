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7E0D932E-EDDB-4D39-9E85-8E4BD7CFCB1B}" xr6:coauthVersionLast="47" xr6:coauthVersionMax="47" xr10:uidLastSave="{00000000-0000-0000-0000-000000000000}"/>
  <bookViews>
    <workbookView xWindow="-110" yWindow="-110" windowWidth="19420" windowHeight="10420" tabRatio="647" activeTab="1" xr2:uid="{00000000-000D-0000-FFFF-FFFF00000000}"/>
  </bookViews>
  <sheets>
    <sheet name="Planilha1" sheetId="9" r:id="rId1"/>
    <sheet name="Dados_TI" sheetId="1" r:id="rId2"/>
    <sheet name="Tempo Resposta" sheetId="2" r:id="rId3"/>
    <sheet name="Sessão" sheetId="3" r:id="rId4"/>
    <sheet name="Tamanho Mb" sheetId="4" r:id="rId5"/>
    <sheet name="Usuário" sheetId="5" r:id="rId6"/>
    <sheet name="Região" sheetId="6" r:id="rId7"/>
    <sheet name="Prioridade" sheetId="7" r:id="rId8"/>
    <sheet name="Status" sheetId="8" r:id="rId9"/>
  </sheets>
  <definedNames>
    <definedName name="_xlchart.v1.0" hidden="1">'Tempo Resposta'!$A$18:$A$26</definedName>
    <definedName name="_xlchart.v1.1" hidden="1">'Tempo Resposta'!$B$17</definedName>
    <definedName name="_xlchart.v1.2" hidden="1">'Tempo Resposta'!$B$18:$B$26</definedName>
    <definedName name="_xlchart.v1.3" hidden="1">Sessão!$A$25:$A$40</definedName>
    <definedName name="_xlchart.v1.4" hidden="1">Sessão!$B$24</definedName>
    <definedName name="_xlchart.v1.5" hidden="1">Sessão!$B$25:$B$40</definedName>
    <definedName name="_xlchart.v1.6" hidden="1">'Tamanho Mb'!$A$16:$A$22</definedName>
    <definedName name="_xlchart.v1.7" hidden="1">'Tamanho Mb'!$B$15</definedName>
    <definedName name="_xlchart.v1.8" hidden="1">'Tamanho Mb'!$B$16:$B$22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13" r:id="rId17"/>
    <pivotCache cacheId="23" r:id="rId18"/>
    <pivotCache cacheId="29" r:id="rId19"/>
    <pivotCache cacheId="36" r:id="rId20"/>
    <pivotCache cacheId="44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3" i="1" l="1"/>
  <c r="Z52" i="1"/>
  <c r="Z51" i="1"/>
  <c r="R51" i="1" a="1"/>
  <c r="R51" i="1" s="1"/>
  <c r="R53" i="1" a="1"/>
  <c r="R53" i="1" s="1"/>
  <c r="X53" i="1"/>
  <c r="V53" i="1"/>
  <c r="X52" i="1"/>
  <c r="V52" i="1"/>
  <c r="X51" i="1"/>
  <c r="V51" i="1"/>
  <c r="T53" i="1"/>
  <c r="T52" i="1"/>
  <c r="T51" i="1"/>
  <c r="R52" i="1" a="1"/>
  <c r="R52" i="1" s="1"/>
  <c r="P53" i="1"/>
  <c r="P52" i="1"/>
  <c r="P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<sst xmlns="http://schemas.openxmlformats.org/spreadsheetml/2006/main" count="419" uniqueCount="67">
  <si>
    <t>ID</t>
  </si>
  <si>
    <t>Tempo_Resposta_ms</t>
  </si>
  <si>
    <t>Requisicoes_por_Sessao</t>
  </si>
  <si>
    <t>Tamanho_MB</t>
  </si>
  <si>
    <t>Tipo_Usuario</t>
  </si>
  <si>
    <t>Regiao</t>
  </si>
  <si>
    <t>Prioridade</t>
  </si>
  <si>
    <t>Status</t>
  </si>
  <si>
    <t>Interno</t>
  </si>
  <si>
    <t>Sudeste</t>
  </si>
  <si>
    <t>Alta</t>
  </si>
  <si>
    <t>Sucesso</t>
  </si>
  <si>
    <t>Externo</t>
  </si>
  <si>
    <t>Sul</t>
  </si>
  <si>
    <t>Média</t>
  </si>
  <si>
    <t>Nordeste</t>
  </si>
  <si>
    <t>Baixa</t>
  </si>
  <si>
    <t>Erro</t>
  </si>
  <si>
    <t>Norte</t>
  </si>
  <si>
    <t>Qualitativa Nominal</t>
  </si>
  <si>
    <t>Qualitativa Ordinal</t>
  </si>
  <si>
    <t>Quantitativa Discreta</t>
  </si>
  <si>
    <t>Quantitativa Contínua</t>
  </si>
  <si>
    <t>Rótulos de Linha</t>
  </si>
  <si>
    <t>Total Geral</t>
  </si>
  <si>
    <t>Tempo Resposta</t>
  </si>
  <si>
    <t>F%</t>
  </si>
  <si>
    <t>FA</t>
  </si>
  <si>
    <t>FS</t>
  </si>
  <si>
    <t>Requisição por Sessão</t>
  </si>
  <si>
    <t>0,5-1,5</t>
  </si>
  <si>
    <t>1,5-2,5</t>
  </si>
  <si>
    <t>2,5-3,5</t>
  </si>
  <si>
    <t>3,5-4,5</t>
  </si>
  <si>
    <t>4,5-5,5</t>
  </si>
  <si>
    <t>5,5-6,5</t>
  </si>
  <si>
    <t>6,5-7,5</t>
  </si>
  <si>
    <t>115-144</t>
  </si>
  <si>
    <t>145-174</t>
  </si>
  <si>
    <t>175-204</t>
  </si>
  <si>
    <t>205-234</t>
  </si>
  <si>
    <t>235-264</t>
  </si>
  <si>
    <t>265-294</t>
  </si>
  <si>
    <t>295-324</t>
  </si>
  <si>
    <t>325-354</t>
  </si>
  <si>
    <t>385-414</t>
  </si>
  <si>
    <t>Tamanho Mb</t>
  </si>
  <si>
    <t>Tipo Usuário</t>
  </si>
  <si>
    <t>Região</t>
  </si>
  <si>
    <t>Moda</t>
  </si>
  <si>
    <t>Mediana</t>
  </si>
  <si>
    <t>Variância</t>
  </si>
  <si>
    <t>Desvio Padrão</t>
  </si>
  <si>
    <t xml:space="preserve"> Tempo Resposta</t>
  </si>
  <si>
    <t>Requisições Sessão</t>
  </si>
  <si>
    <t>Tamanho MB</t>
  </si>
  <si>
    <t>Variáveis</t>
  </si>
  <si>
    <t>CV</t>
  </si>
  <si>
    <t>Rótulos de Coluna</t>
  </si>
  <si>
    <t>Contagem de Regiao</t>
  </si>
  <si>
    <t>Regiões</t>
  </si>
  <si>
    <t>Contagem de Tipo_Usuario</t>
  </si>
  <si>
    <t>Tipos de usuario</t>
  </si>
  <si>
    <t>Média de Tempo_Resposta_ms</t>
  </si>
  <si>
    <t>Contagem de Status</t>
  </si>
  <si>
    <t>Prioridades</t>
  </si>
  <si>
    <t>Tipos de Usuários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</si>
</sst>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12" xfId="0" applyBorder="1" applyAlignment="1"/>
    <xf numFmtId="0" fontId="0" fillId="0" borderId="13" xfId="0" applyBorder="1" applyAlignment="1"/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117"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Requesições</a:t>
            </a:r>
            <a:r>
              <a:rPr lang="en-US" baseline="0"/>
              <a:t> por Sessão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Sessão!$B$24</c:f>
              <c:strCache>
                <c:ptCount val="1"/>
                <c:pt idx="0">
                  <c:v>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Sessão!$A$25:$A$40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</c:numCache>
            </c:numRef>
          </c:cat>
          <c:val>
            <c:numRef>
              <c:f>Sessão!$B$25:$B$40</c:f>
              <c:numCache>
                <c:formatCode>General</c:formatCode>
                <c:ptCount val="16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5-4534-80ED-F32B49E21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267503"/>
        <c:axId val="1775273263"/>
      </c:lineChart>
      <c:catAx>
        <c:axId val="177526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273263"/>
        <c:crosses val="autoZero"/>
        <c:auto val="1"/>
        <c:lblAlgn val="ctr"/>
        <c:lblOffset val="100"/>
        <c:noMultiLvlLbl val="0"/>
      </c:catAx>
      <c:valAx>
        <c:axId val="17752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26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 de Usuário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Usuário!$B$9</c:f>
              <c:strCache>
                <c:ptCount val="1"/>
                <c:pt idx="0">
                  <c:v>FS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C-443F-9D31-1DF1EFD784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FC-443F-9D31-1DF1EFD784B2}"/>
              </c:ext>
            </c:extLst>
          </c:dPt>
          <c:cat>
            <c:strRef>
              <c:f>Usuário!$A$10:$A$11</c:f>
              <c:strCache>
                <c:ptCount val="2"/>
                <c:pt idx="0">
                  <c:v>Externo</c:v>
                </c:pt>
                <c:pt idx="1">
                  <c:v>Interno</c:v>
                </c:pt>
              </c:strCache>
            </c:strRef>
          </c:cat>
          <c:val>
            <c:numRef>
              <c:f>Usuário!$B$10:$B$11</c:f>
              <c:numCache>
                <c:formatCode>General</c:formatCode>
                <c:ptCount val="2"/>
                <c:pt idx="0">
                  <c:v>33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5-4BA4-8C78-98FAC5138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 de Usuário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Usuário!$B$9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Usuário!$A$10:$A$11</c:f>
              <c:strCache>
                <c:ptCount val="2"/>
                <c:pt idx="0">
                  <c:v>Externo</c:v>
                </c:pt>
                <c:pt idx="1">
                  <c:v>Interno</c:v>
                </c:pt>
              </c:strCache>
            </c:strRef>
          </c:cat>
          <c:val>
            <c:numRef>
              <c:f>Usuário!$B$10:$B$11</c:f>
              <c:numCache>
                <c:formatCode>General</c:formatCode>
                <c:ptCount val="2"/>
                <c:pt idx="0">
                  <c:v>33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5-4A95-B090-217A27ECE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287663"/>
        <c:axId val="1775276623"/>
      </c:barChart>
      <c:catAx>
        <c:axId val="17752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276623"/>
        <c:crosses val="autoZero"/>
        <c:auto val="1"/>
        <c:lblAlgn val="ctr"/>
        <c:lblOffset val="100"/>
        <c:noMultiLvlLbl val="0"/>
      </c:catAx>
      <c:valAx>
        <c:axId val="17752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28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 de Usuário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Usuário!$B$9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Usuário!$A$10:$A$11</c:f>
              <c:strCache>
                <c:ptCount val="2"/>
                <c:pt idx="0">
                  <c:v>Externo</c:v>
                </c:pt>
                <c:pt idx="1">
                  <c:v>Interno</c:v>
                </c:pt>
              </c:strCache>
            </c:strRef>
          </c:cat>
          <c:val>
            <c:numRef>
              <c:f>Usuário!$B$10:$B$11</c:f>
              <c:numCache>
                <c:formatCode>General</c:formatCode>
                <c:ptCount val="2"/>
                <c:pt idx="0">
                  <c:v>33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D-40FE-9681-7952E7A6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250607"/>
        <c:axId val="1402250127"/>
      </c:barChart>
      <c:catAx>
        <c:axId val="140225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2250127"/>
        <c:crosses val="autoZero"/>
        <c:auto val="1"/>
        <c:lblAlgn val="ctr"/>
        <c:lblOffset val="100"/>
        <c:noMultiLvlLbl val="0"/>
      </c:catAx>
      <c:valAx>
        <c:axId val="140225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225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Região!$B$11</c:f>
              <c:strCache>
                <c:ptCount val="1"/>
                <c:pt idx="0">
                  <c:v>FS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56-4019-8F27-18276D8E8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56-4019-8F27-18276D8E8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56-4019-8F27-18276D8E81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56-4019-8F27-18276D8E81E6}"/>
              </c:ext>
            </c:extLst>
          </c:dPt>
          <c:cat>
            <c:strRef>
              <c:f>Região!$A$12:$A$15</c:f>
              <c:strCache>
                <c:ptCount val="4"/>
                <c:pt idx="0">
                  <c:v>Nordeste</c:v>
                </c:pt>
                <c:pt idx="1">
                  <c:v>Norte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Região!$B$12:$B$15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C-4BCA-B27B-81589912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Região!$B$11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Região!$A$12:$A$15</c:f>
              <c:strCache>
                <c:ptCount val="4"/>
                <c:pt idx="0">
                  <c:v>Nordeste</c:v>
                </c:pt>
                <c:pt idx="1">
                  <c:v>Norte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Região!$B$12:$B$15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F-4A47-A67F-6E585F208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057743"/>
        <c:axId val="1780042383"/>
      </c:barChart>
      <c:catAx>
        <c:axId val="178005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042383"/>
        <c:crosses val="autoZero"/>
        <c:auto val="1"/>
        <c:lblAlgn val="ctr"/>
        <c:lblOffset val="100"/>
        <c:noMultiLvlLbl val="0"/>
      </c:catAx>
      <c:valAx>
        <c:axId val="178004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05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Região!$B$11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Região!$A$12:$A$15</c:f>
              <c:strCache>
                <c:ptCount val="4"/>
                <c:pt idx="0">
                  <c:v>Nordeste</c:v>
                </c:pt>
                <c:pt idx="1">
                  <c:v>Norte</c:v>
                </c:pt>
                <c:pt idx="2">
                  <c:v>Sudeste</c:v>
                </c:pt>
                <c:pt idx="3">
                  <c:v>Sul</c:v>
                </c:pt>
              </c:strCache>
            </c:strRef>
          </c:cat>
          <c:val>
            <c:numRef>
              <c:f>Região!$B$12:$B$15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4-47D2-A96A-75314E755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2052991"/>
        <c:axId val="1412053471"/>
      </c:barChart>
      <c:catAx>
        <c:axId val="141205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053471"/>
        <c:crosses val="autoZero"/>
        <c:auto val="1"/>
        <c:lblAlgn val="ctr"/>
        <c:lblOffset val="100"/>
        <c:noMultiLvlLbl val="0"/>
      </c:catAx>
      <c:valAx>
        <c:axId val="141205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05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Prioridade!$B$10</c:f>
              <c:strCache>
                <c:ptCount val="1"/>
                <c:pt idx="0">
                  <c:v>FS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31-47D7-8924-0C6862CAB7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31-47D7-8924-0C6862CAB7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31-47D7-8924-0C6862CAB7F2}"/>
              </c:ext>
            </c:extLst>
          </c:dPt>
          <c:cat>
            <c:strRef>
              <c:f>Prioridade!$A$11:$A$13</c:f>
              <c:strCache>
                <c:ptCount val="3"/>
                <c:pt idx="0">
                  <c:v>Alta</c:v>
                </c:pt>
                <c:pt idx="1">
                  <c:v>Baixa</c:v>
                </c:pt>
                <c:pt idx="2">
                  <c:v>Média</c:v>
                </c:pt>
              </c:strCache>
            </c:strRef>
          </c:cat>
          <c:val>
            <c:numRef>
              <c:f>Prioridade!$B$11:$B$13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1-4500-B9E8-D5978BCF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Prioridade!$B$10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Prioridade!$A$11:$A$13</c:f>
              <c:strCache>
                <c:ptCount val="3"/>
                <c:pt idx="0">
                  <c:v>Alta</c:v>
                </c:pt>
                <c:pt idx="1">
                  <c:v>Baixa</c:v>
                </c:pt>
                <c:pt idx="2">
                  <c:v>Média</c:v>
                </c:pt>
              </c:strCache>
            </c:strRef>
          </c:cat>
          <c:val>
            <c:numRef>
              <c:f>Prioridade!$B$11:$B$13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0-460F-B08C-098F27035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088255"/>
        <c:axId val="1784090175"/>
      </c:barChart>
      <c:catAx>
        <c:axId val="178408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090175"/>
        <c:crosses val="autoZero"/>
        <c:auto val="1"/>
        <c:lblAlgn val="ctr"/>
        <c:lblOffset val="100"/>
        <c:noMultiLvlLbl val="0"/>
      </c:catAx>
      <c:valAx>
        <c:axId val="17840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08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Prioridade!$B$10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Prioridade!$A$11:$A$13</c:f>
              <c:strCache>
                <c:ptCount val="3"/>
                <c:pt idx="0">
                  <c:v>Alta</c:v>
                </c:pt>
                <c:pt idx="1">
                  <c:v>Baixa</c:v>
                </c:pt>
                <c:pt idx="2">
                  <c:v>Média</c:v>
                </c:pt>
              </c:strCache>
            </c:strRef>
          </c:cat>
          <c:val>
            <c:numRef>
              <c:f>Prioridade!$B$11:$B$13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C-4513-AEC5-7F0739E6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648479"/>
        <c:axId val="1747647519"/>
      </c:barChart>
      <c:catAx>
        <c:axId val="174764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7647519"/>
        <c:crosses val="autoZero"/>
        <c:auto val="1"/>
        <c:lblAlgn val="ctr"/>
        <c:lblOffset val="100"/>
        <c:noMultiLvlLbl val="0"/>
      </c:catAx>
      <c:valAx>
        <c:axId val="174764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764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Status!$B$9</c:f>
              <c:strCache>
                <c:ptCount val="1"/>
                <c:pt idx="0">
                  <c:v>FS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4-47B5-A3C6-2919A4388B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44-47B5-A3C6-2919A4388BD1}"/>
              </c:ext>
            </c:extLst>
          </c:dPt>
          <c:cat>
            <c:strRef>
              <c:f>Status!$A$10:$A$11</c:f>
              <c:strCache>
                <c:ptCount val="2"/>
                <c:pt idx="0">
                  <c:v>Erro</c:v>
                </c:pt>
                <c:pt idx="1">
                  <c:v>Sucesso</c:v>
                </c:pt>
              </c:strCache>
            </c:strRef>
          </c:cat>
          <c:val>
            <c:numRef>
              <c:f>Status!$B$10:$B$11</c:f>
              <c:numCache>
                <c:formatCode>General</c:formatCode>
                <c:ptCount val="2"/>
                <c:pt idx="0">
                  <c:v>18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4-403C-8CAD-1E748745B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Status!$B$9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Status!$A$10:$A$11</c:f>
              <c:strCache>
                <c:ptCount val="2"/>
                <c:pt idx="0">
                  <c:v>Erro</c:v>
                </c:pt>
                <c:pt idx="1">
                  <c:v>Sucesso</c:v>
                </c:pt>
              </c:strCache>
            </c:strRef>
          </c:cat>
          <c:val>
            <c:numRef>
              <c:f>Status!$B$10:$B$11</c:f>
              <c:numCache>
                <c:formatCode>General</c:formatCode>
                <c:ptCount val="2"/>
                <c:pt idx="0">
                  <c:v>18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3-454E-9B86-153995FB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424735"/>
        <c:axId val="1789427135"/>
      </c:barChart>
      <c:catAx>
        <c:axId val="17894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427135"/>
        <c:crosses val="autoZero"/>
        <c:auto val="1"/>
        <c:lblAlgn val="ctr"/>
        <c:lblOffset val="100"/>
        <c:noMultiLvlLbl val="0"/>
      </c:catAx>
      <c:valAx>
        <c:axId val="178942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94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Status!$B$9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Status!$A$10:$A$11</c:f>
              <c:strCache>
                <c:ptCount val="2"/>
                <c:pt idx="0">
                  <c:v>Erro</c:v>
                </c:pt>
                <c:pt idx="1">
                  <c:v>Sucesso</c:v>
                </c:pt>
              </c:strCache>
            </c:strRef>
          </c:cat>
          <c:val>
            <c:numRef>
              <c:f>Status!$B$10:$B$11</c:f>
              <c:numCache>
                <c:formatCode>General</c:formatCode>
                <c:ptCount val="2"/>
                <c:pt idx="0">
                  <c:v>18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A-4E29-908F-5156EED4F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5973215"/>
        <c:axId val="1775969855"/>
      </c:barChart>
      <c:catAx>
        <c:axId val="177597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969855"/>
        <c:crosses val="autoZero"/>
        <c:auto val="1"/>
        <c:lblAlgn val="ctr"/>
        <c:lblOffset val="100"/>
        <c:noMultiLvlLbl val="0"/>
      </c:catAx>
      <c:valAx>
        <c:axId val="177596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97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Tempo Respota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pt-BR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Tempo Respota</a:t>
          </a:r>
        </a:p>
      </cx:txPr>
    </cx:title>
    <cx:plotArea>
      <cx:plotAreaRegion>
        <cx:series layoutId="clusteredColumn" uniqueId="{3EA696C8-2165-4ED5-9832-663314DA4452}" formatIdx="0">
          <cx:tx>
            <cx:txData>
              <cx:f>_xlchart.v1.1</cx:f>
              <cx:v>FS</cx:v>
            </cx:txData>
          </cx:tx>
          <cx:dataId val="0"/>
          <cx:layoutPr>
            <cx:aggregation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pt-BR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Requisições por Sessão</a:t>
            </a:r>
            <a:endParaRPr lang="pt-BR"/>
          </a:p>
        </cx:rich>
      </cx:tx>
    </cx:title>
    <cx:plotArea>
      <cx:plotAreaRegion>
        <cx:series layoutId="clusteredColumn" uniqueId="{EA53EBFC-A627-44B6-B02A-A6E11CD5DEA4}" formatIdx="0">
          <cx:tx>
            <cx:txData>
              <cx:f>_xlchart.v1.4</cx:f>
              <cx:v>FS</cx:v>
            </cx:txData>
          </cx:tx>
          <cx:dataId val="0"/>
          <cx:layoutPr>
            <cx:aggregation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Tamanho Mb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pt-BR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Tamanho Mb</a:t>
          </a:r>
        </a:p>
      </cx:txPr>
    </cx:title>
    <cx:plotArea>
      <cx:plotAreaRegion>
        <cx:series layoutId="clusteredColumn" uniqueId="{07246FBE-C4ED-4CEC-ADF7-C0DF1ED351E4}" formatIdx="0">
          <cx:tx>
            <cx:txData>
              <cx:f>_xlchart.v1.7</cx:f>
              <cx:v>FS</cx:v>
            </cx:txData>
          </cx:tx>
          <cx:dataId val="0"/>
          <cx:layoutPr>
            <cx:aggregation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66</xdr:row>
      <xdr:rowOff>14109</xdr:rowOff>
    </xdr:from>
    <xdr:to>
      <xdr:col>24</xdr:col>
      <xdr:colOff>44802</xdr:colOff>
      <xdr:row>123</xdr:row>
      <xdr:rowOff>162278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276B47F-C720-43AF-B00D-BF04AB2CBCA4}"/>
            </a:ext>
          </a:extLst>
        </xdr:cNvPr>
        <xdr:cNvSpPr/>
      </xdr:nvSpPr>
      <xdr:spPr>
        <a:xfrm>
          <a:off x="6921853" y="12191998"/>
          <a:ext cx="11037005" cy="1060450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Uma empresa de tecnologia coletou dados de 60 requisições ao servidor durante um dia, com o objetivo de avaliar desempenho, carga e experiência do usuário.(Dados fictícios) 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400"/>
            </a:lnSpc>
          </a:pP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Classifique as variáveis da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tabela em qualitativa (nominal ou ordinal) ou quantitativa (discreta ou contínua)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>
            <a:effectLst/>
          </a:endParaRPr>
        </a:p>
        <a:p>
          <a:pPr lvl="0">
            <a:lnSpc>
              <a:spcPts val="1400"/>
            </a:lnSpc>
          </a:pP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tabelas de frequências (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frequências simples, frequência percentual e frequência acumulada)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todas as variáveis.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>
            <a:lnSpc>
              <a:spcPts val="1400"/>
            </a:lnSpc>
          </a:pP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Contrua os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gráficos recomendados para as varíáveis do exercício 2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sua opnião qual gráfico  melhor representou os dados? Justifique.</a:t>
          </a:r>
        </a:p>
        <a:p>
          <a:pPr lvl="0"/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</a:t>
          </a:r>
          <a:b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Tempo Respota o gráfico de coluna representa melhor os dados pois mostra os dados de uma forma mais entendível e simples.</a:t>
          </a:r>
          <a:b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Requisições por Sessão eu também falaria que o gráfico de coluna representa de uma forma mais simples de entender comparado ao de linhas.</a:t>
          </a:r>
        </a:p>
        <a:p>
          <a:pPr lvl="0"/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Tamanho Mb só tem o uso do histograma, porém ele representa de uma maneira bem simples de entender como o gráfico de coluna.</a:t>
          </a:r>
        </a:p>
        <a:p>
          <a:pPr lvl="0"/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Tipo de Usuário eu prefiro os gráficos de barras e colunas por serem mais faceís de compreended, o gráfico de pizza é bom também mas não do mesmo jeito que os outros dois gráficos apresentam as informações.</a:t>
          </a:r>
        </a:p>
        <a:p>
          <a:pPr lvl="0"/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da Região eu prefiro o gráfico de barras por causa que ele parece melhor em representar os dados.</a:t>
          </a:r>
        </a:p>
        <a:p>
          <a:pPr lvl="0"/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da Prioridade eu também prefiro o de colunas por ser facíl de analisar.</a:t>
          </a:r>
        </a:p>
        <a:p>
          <a:pPr lvl="0"/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de Status eu prefiro o de pizza porque ele representa de um jeito mais significativo para a enfrentação de um problema.</a:t>
          </a:r>
        </a:p>
        <a:p>
          <a:pPr lvl="0"/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Calcule para as variáveis quantitativas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Média, moda, mediana,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ariância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desvio padrão. </a:t>
          </a:r>
          <a:endParaRPr lang="pt-BR" sz="1200">
            <a:effectLst/>
          </a:endParaRPr>
        </a:p>
        <a:p>
          <a:pPr lvl="0"/>
          <a:endParaRPr lang="pt-BR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 base nos cálculos do exercício 4, responda: </a:t>
          </a: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Tempo de Resposta (ms)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Existe 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moda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 Justifique.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Não existe moda por causa que não tem numeros repetidos dentro da sequência.</a:t>
          </a: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média representa bem os dados? Justifique com base na dispersão.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Não exatamente, pois tem vários números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 valores grandes e pequenos que nem chegam perto dessa resposta.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Tamanho dos Dados (MB)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dados são homogêneos ou heterogêneos? Justifique.</a:t>
          </a: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São heterogêneos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pois a diferença entre a média e o desvio padrão é grande.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Requisições por Sessão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Há grande variação no número de requisições? Justifique.</a:t>
          </a:r>
        </a:p>
        <a:p>
          <a:pPr lvl="0"/>
          <a:r>
            <a:rPr lang="pt-B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Sim, pois a variação entre a variância e o desvio padrão é alto.</a:t>
          </a:r>
          <a:endParaRPr lang="pt-BR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pt-B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Análises com Variáveis Qualitativas</a:t>
          </a:r>
        </a:p>
        <a:p>
          <a:endParaRPr lang="pt-BR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Qual região apresenta mais erros?</a:t>
          </a: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A região que apresenta mais erros é a região Norte.</a:t>
          </a:r>
        </a:p>
        <a:p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Usuários internos ou externos têm maior tempo médio?</a:t>
          </a: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Os usuários externos possuem maior tempo médio.</a:t>
          </a:r>
        </a:p>
        <a:p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Qual o tempo médio por região?</a:t>
          </a: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Nordeste - 202; Norte - 220; Sudeste - 215; Sul - 196.</a:t>
          </a:r>
        </a:p>
        <a:p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Qual o tempo médio por tipo de usuário?</a:t>
          </a: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Externo - 210; Interno - 206.</a:t>
          </a:r>
        </a:p>
        <a:p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e) Qual a taxa de erro por prioridade?</a:t>
          </a: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Alta - 25%   Média -  33,33%   Baixa - 41,67%</a:t>
          </a:r>
        </a:p>
        <a:p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OBS: Use cruzamentos de variáveis para responder (tabela dinâmica)</a:t>
          </a:r>
        </a:p>
        <a:p>
          <a:endParaRPr lang="pt-BR" sz="12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1012825</xdr:colOff>
      <xdr:row>1</xdr:row>
      <xdr:rowOff>19050</xdr:rowOff>
    </xdr:from>
    <xdr:to>
      <xdr:col>19</xdr:col>
      <xdr:colOff>263525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E601101-81D2-5BE3-132E-11D263C5EE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1525" y="20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38100</xdr:rowOff>
    </xdr:from>
    <xdr:to>
      <xdr:col>12</xdr:col>
      <xdr:colOff>352425</xdr:colOff>
      <xdr:row>17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8D18B51-6461-ABA7-7D1B-90D99659D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5175" y="406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5</xdr:col>
      <xdr:colOff>22225</xdr:colOff>
      <xdr:row>17</xdr:row>
      <xdr:rowOff>146050</xdr:rowOff>
    </xdr:from>
    <xdr:to>
      <xdr:col>12</xdr:col>
      <xdr:colOff>327025</xdr:colOff>
      <xdr:row>32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98B2C3-6921-769F-1684-EC2488E5F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98425</xdr:colOff>
      <xdr:row>1</xdr:row>
      <xdr:rowOff>120650</xdr:rowOff>
    </xdr:from>
    <xdr:to>
      <xdr:col>13</xdr:col>
      <xdr:colOff>403225</xdr:colOff>
      <xdr:row>16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D1570B7-5373-BACD-B175-D7E1EDF73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875" y="30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25400</xdr:rowOff>
    </xdr:from>
    <xdr:to>
      <xdr:col>12</xdr:col>
      <xdr:colOff>314325</xdr:colOff>
      <xdr:row>17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0AC417-438C-EFF2-2981-C352031E3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434975</xdr:colOff>
      <xdr:row>2</xdr:row>
      <xdr:rowOff>38100</xdr:rowOff>
    </xdr:from>
    <xdr:to>
      <xdr:col>20</xdr:col>
      <xdr:colOff>130175</xdr:colOff>
      <xdr:row>17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838A1F-4C0E-7F76-0BD3-E01B7D8AB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17</xdr:row>
      <xdr:rowOff>82550</xdr:rowOff>
    </xdr:from>
    <xdr:to>
      <xdr:col>12</xdr:col>
      <xdr:colOff>314325</xdr:colOff>
      <xdr:row>32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55AAA0-326F-538F-F912-6197BAD35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1</xdr:row>
      <xdr:rowOff>19050</xdr:rowOff>
    </xdr:from>
    <xdr:to>
      <xdr:col>12</xdr:col>
      <xdr:colOff>327025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93521C-EDC8-5F93-E887-148796CE2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365125</xdr:colOff>
      <xdr:row>1</xdr:row>
      <xdr:rowOff>19050</xdr:rowOff>
    </xdr:from>
    <xdr:to>
      <xdr:col>20</xdr:col>
      <xdr:colOff>60325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2DB37A-0791-C686-0D8F-26D5D396F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16</xdr:row>
      <xdr:rowOff>127000</xdr:rowOff>
    </xdr:from>
    <xdr:to>
      <xdr:col>12</xdr:col>
      <xdr:colOff>327025</xdr:colOff>
      <xdr:row>31</xdr:row>
      <xdr:rowOff>107950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D641A8-F078-7A00-19FB-051E2E12F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0</xdr:row>
      <xdr:rowOff>76200</xdr:rowOff>
    </xdr:from>
    <xdr:to>
      <xdr:col>12</xdr:col>
      <xdr:colOff>282575</xdr:colOff>
      <xdr:row>15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589518-B1FC-A141-4614-4D0D55D3A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339725</xdr:colOff>
      <xdr:row>0</xdr:row>
      <xdr:rowOff>82550</xdr:rowOff>
    </xdr:from>
    <xdr:to>
      <xdr:col>20</xdr:col>
      <xdr:colOff>34925</xdr:colOff>
      <xdr:row>15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6B39F4-104F-5BFD-AB8E-AE8F2A51A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15</xdr:row>
      <xdr:rowOff>177800</xdr:rowOff>
    </xdr:from>
    <xdr:to>
      <xdr:col>12</xdr:col>
      <xdr:colOff>257175</xdr:colOff>
      <xdr:row>30</xdr:row>
      <xdr:rowOff>158750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433914-109F-9E9E-26D8-DED12B63D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117475</xdr:colOff>
      <xdr:row>0</xdr:row>
      <xdr:rowOff>38100</xdr:rowOff>
    </xdr:from>
    <xdr:to>
      <xdr:col>11</xdr:col>
      <xdr:colOff>422275</xdr:colOff>
      <xdr:row>15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7D3718-7B5D-9D7A-9B88-2B1258B45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0</xdr:row>
      <xdr:rowOff>50800</xdr:rowOff>
    </xdr:from>
    <xdr:to>
      <xdr:col>19</xdr:col>
      <xdr:colOff>257175</xdr:colOff>
      <xdr:row>15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05B2C9-34C5-3D0D-28B2-C92725722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142875</xdr:colOff>
      <xdr:row>15</xdr:row>
      <xdr:rowOff>82550</xdr:rowOff>
    </xdr:from>
    <xdr:to>
      <xdr:col>11</xdr:col>
      <xdr:colOff>447675</xdr:colOff>
      <xdr:row>30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92D209-3A94-883F-BC94-869BA7214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61165509259" createdVersion="8" refreshedVersion="8" minRefreshableVersion="3" recordCount="60" xr:uid="{F9CB45A1-90EB-4D66-AAD4-085EAC22DD00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Tempo_Resposta_ms" numFmtId="0">
      <sharedItems containsSemiMixedTypes="0" containsString="0" containsNumber="1" containsInteger="1" minValue="115" maxValue="400" count="60">
        <n v="120"/>
        <n v="135"/>
        <n v="150"/>
        <n v="160"/>
        <n v="145"/>
        <n v="155"/>
        <n v="170"/>
        <n v="180"/>
        <n v="175"/>
        <n v="165"/>
        <n v="140"/>
        <n v="130"/>
        <n v="125"/>
        <n v="200"/>
        <n v="210"/>
        <n v="190"/>
        <n v="185"/>
        <n v="220"/>
        <n v="230"/>
        <n v="240"/>
        <n v="250"/>
        <n v="260"/>
        <n v="270"/>
        <n v="300"/>
        <n v="310"/>
        <n v="320"/>
        <n v="330"/>
        <n v="340"/>
        <n v="350"/>
        <n v="400"/>
        <n v="115"/>
        <n v="118"/>
        <n v="122"/>
        <n v="128"/>
        <n v="132"/>
        <n v="138"/>
        <n v="142"/>
        <n v="148"/>
        <n v="152"/>
        <n v="158"/>
        <n v="162"/>
        <n v="168"/>
        <n v="172"/>
        <n v="178"/>
        <n v="182"/>
        <n v="188"/>
        <n v="192"/>
        <n v="198"/>
        <n v="205"/>
        <n v="215"/>
        <n v="225"/>
        <n v="235"/>
        <n v="245"/>
        <n v="255"/>
        <n v="265"/>
        <n v="275"/>
        <n v="285"/>
        <n v="295"/>
        <n v="305"/>
        <n v="315"/>
      </sharedItems>
      <fieldGroup base="1">
        <rangePr autoStart="0" autoEnd="0" startNum="115" endNum="400" groupInterval="30"/>
        <groupItems count="12">
          <s v="&lt;115"/>
          <s v="115-144"/>
          <s v="145-174"/>
          <s v="175-204"/>
          <s v="205-234"/>
          <s v="235-264"/>
          <s v="265-294"/>
          <s v="295-324"/>
          <s v="325-354"/>
          <s v="355-384"/>
          <s v="385-414"/>
          <s v="&gt;415"/>
        </groupItems>
      </fieldGroup>
    </cacheField>
    <cacheField name="Requisicoes_por_Sessao" numFmtId="0">
      <sharedItems containsSemiMixedTypes="0" containsString="0" containsNumber="1" containsInteger="1" minValue="2" maxValue="18" count="16">
        <n v="5"/>
        <n v="3"/>
        <n v="6"/>
        <n v="4"/>
        <n v="7"/>
        <n v="8"/>
        <n v="2"/>
        <n v="9"/>
        <n v="10"/>
        <n v="11"/>
        <n v="12"/>
        <n v="13"/>
        <n v="14"/>
        <n v="15"/>
        <n v="16"/>
        <n v="18"/>
      </sharedItems>
    </cacheField>
    <cacheField name="Tamanho_MB" numFmtId="0">
      <sharedItems containsSemiMixedTypes="0" containsString="0" containsNumber="1" minValue="0.5" maxValue="7" count="46">
        <n v="1.2"/>
        <n v="0.8"/>
        <n v="1.5"/>
        <n v="2"/>
        <n v="1.1000000000000001"/>
        <n v="1.3"/>
        <n v="2.5"/>
        <n v="2.2000000000000002"/>
        <n v="1.8"/>
        <n v="1"/>
        <n v="0.9"/>
        <n v="0.7"/>
        <n v="0.6"/>
        <n v="3"/>
        <n v="3.2"/>
        <n v="2.8"/>
        <n v="2.4"/>
        <n v="3.5"/>
        <n v="3.8"/>
        <n v="4"/>
        <n v="4.2"/>
        <n v="4.5"/>
        <n v="4.8"/>
        <n v="5"/>
        <n v="5.5"/>
        <n v="5.8"/>
        <n v="6"/>
        <n v="6.2"/>
        <n v="6.5"/>
        <n v="7"/>
        <n v="0.5"/>
        <n v="1.4"/>
        <n v="1.6"/>
        <n v="1.7"/>
        <n v="1.9"/>
        <n v="2.7"/>
        <n v="3.3"/>
        <n v="3.6"/>
        <n v="3.9"/>
        <n v="4.0999999999999996"/>
        <n v="4.3"/>
        <n v="4.5999999999999996"/>
        <n v="4.9000000000000004"/>
        <n v="5.2"/>
        <n v="5.4"/>
        <n v="5.7"/>
      </sharedItems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70983449071" createdVersion="8" refreshedVersion="8" minRefreshableVersion="3" recordCount="60" xr:uid="{647D5437-E62F-41A5-B56C-31CDF4901208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 count="16">
        <n v="5"/>
        <n v="3"/>
        <n v="6"/>
        <n v="4"/>
        <n v="7"/>
        <n v="8"/>
        <n v="2"/>
        <n v="9"/>
        <n v="10"/>
        <n v="11"/>
        <n v="12"/>
        <n v="13"/>
        <n v="14"/>
        <n v="15"/>
        <n v="16"/>
        <n v="18"/>
      </sharedItems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76095138889" createdVersion="8" refreshedVersion="8" minRefreshableVersion="3" recordCount="60" xr:uid="{76FB06A3-3C53-4FA1-A53F-C693477CFC75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 count="46">
        <n v="1.2"/>
        <n v="0.8"/>
        <n v="1.5"/>
        <n v="2"/>
        <n v="1.1000000000000001"/>
        <n v="1.3"/>
        <n v="2.5"/>
        <n v="2.2000000000000002"/>
        <n v="1.8"/>
        <n v="1"/>
        <n v="0.9"/>
        <n v="0.7"/>
        <n v="0.6"/>
        <n v="3"/>
        <n v="3.2"/>
        <n v="2.8"/>
        <n v="2.4"/>
        <n v="3.5"/>
        <n v="3.8"/>
        <n v="4"/>
        <n v="4.2"/>
        <n v="4.5"/>
        <n v="4.8"/>
        <n v="5"/>
        <n v="5.5"/>
        <n v="5.8"/>
        <n v="6"/>
        <n v="6.2"/>
        <n v="6.5"/>
        <n v="7"/>
        <n v="0.5"/>
        <n v="1.4"/>
        <n v="1.6"/>
        <n v="1.7"/>
        <n v="1.9"/>
        <n v="2.7"/>
        <n v="3.3"/>
        <n v="3.6"/>
        <n v="3.9"/>
        <n v="4.0999999999999996"/>
        <n v="4.3"/>
        <n v="4.5999999999999996"/>
        <n v="4.9000000000000004"/>
        <n v="5.2"/>
        <n v="5.4"/>
        <n v="5.7"/>
      </sharedItems>
      <fieldGroup base="3">
        <rangePr startNum="0.5" endNum="7"/>
        <groupItems count="9">
          <s v="&lt;0,5"/>
          <s v="0,5-1,5"/>
          <s v="1,5-2,5"/>
          <s v="2,5-3,5"/>
          <s v="3,5-4,5"/>
          <s v="4,5-5,5"/>
          <s v="5,5-6,5"/>
          <s v="6,5-7,5"/>
          <s v="&gt;7,5"/>
        </groupItems>
      </fieldGroup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81732870372" createdVersion="8" refreshedVersion="8" minRefreshableVersion="3" recordCount="60" xr:uid="{B675574D-C1B6-414E-8FE7-817153376203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 count="2">
        <s v="Externo"/>
        <s v="Interno"/>
      </sharedItems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88562962964" createdVersion="8" refreshedVersion="8" minRefreshableVersion="3" recordCount="60" xr:uid="{8F85A91C-8F71-488D-9CAB-49EDC7298D69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90380787036" createdVersion="8" refreshedVersion="8" minRefreshableVersion="3" recordCount="60" xr:uid="{6FF39D28-49FB-451C-A6F0-F784D069B35D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 count="3">
        <s v="Baixa"/>
        <s v="Média"/>
        <s v="Alta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12.493063194444" createdVersion="8" refreshedVersion="8" minRefreshableVersion="3" recordCount="60" xr:uid="{429FA2F4-B84D-4F30-B56D-9A0C5F2F68D0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 count="2">
        <s v="Sucesso"/>
        <s v="Er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20.423547569444" createdVersion="8" refreshedVersion="8" minRefreshableVersion="3" recordCount="60" xr:uid="{25E00552-98DC-467F-A1C6-2B915542A534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 count="2">
        <s v="Sucesso"/>
        <s v="Er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20.427628124999" createdVersion="8" refreshedVersion="8" minRefreshableVersion="3" recordCount="60" xr:uid="{0CD465FA-6D90-458D-B89C-CB17D3B40459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 count="60">
        <n v="120"/>
        <n v="135"/>
        <n v="150"/>
        <n v="160"/>
        <n v="145"/>
        <n v="155"/>
        <n v="170"/>
        <n v="180"/>
        <n v="175"/>
        <n v="165"/>
        <n v="140"/>
        <n v="130"/>
        <n v="125"/>
        <n v="200"/>
        <n v="210"/>
        <n v="190"/>
        <n v="185"/>
        <n v="220"/>
        <n v="230"/>
        <n v="240"/>
        <n v="250"/>
        <n v="260"/>
        <n v="270"/>
        <n v="300"/>
        <n v="310"/>
        <n v="320"/>
        <n v="330"/>
        <n v="340"/>
        <n v="350"/>
        <n v="400"/>
        <n v="115"/>
        <n v="118"/>
        <n v="122"/>
        <n v="128"/>
        <n v="132"/>
        <n v="138"/>
        <n v="142"/>
        <n v="148"/>
        <n v="152"/>
        <n v="158"/>
        <n v="162"/>
        <n v="168"/>
        <n v="172"/>
        <n v="178"/>
        <n v="182"/>
        <n v="188"/>
        <n v="192"/>
        <n v="198"/>
        <n v="205"/>
        <n v="215"/>
        <n v="225"/>
        <n v="235"/>
        <n v="245"/>
        <n v="255"/>
        <n v="265"/>
        <n v="275"/>
        <n v="285"/>
        <n v="295"/>
        <n v="305"/>
        <n v="315"/>
      </sharedItems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 count="2">
        <s v="Externo"/>
        <s v="Interno"/>
      </sharedItems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20.429916435183" createdVersion="8" refreshedVersion="8" minRefreshableVersion="3" recordCount="60" xr:uid="{A0B6937C-5A89-4365-875A-B5F8FEC09E80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20.435422106479" createdVersion="8" refreshedVersion="8" minRefreshableVersion="3" recordCount="60" xr:uid="{63E70A75-0F75-4387-BB59-F5D198E533F3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 count="2">
        <s v="Externo"/>
        <s v="Interno"/>
      </sharedItems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20.437043518519" createdVersion="8" refreshedVersion="8" minRefreshableVersion="3" recordCount="60" xr:uid="{43F2F1CC-262D-41F9-A0BF-5D6A3CC1F38B}">
  <cacheSource type="worksheet">
    <worksheetSource ref="A1:H61" sheet="Dados_TI"/>
  </cacheSource>
  <cacheFields count="8">
    <cacheField name="ID" numFmtId="0">
      <sharedItems containsSemiMixedTypes="0" containsString="0" containsNumber="1" containsInteger="1" minValue="1" maxValue="60"/>
    </cacheField>
    <cacheField name="Tempo_Resposta_ms" numFmtId="0">
      <sharedItems containsSemiMixedTypes="0" containsString="0" containsNumber="1" containsInteger="1" minValue="115" maxValue="400"/>
    </cacheField>
    <cacheField name="Requisicoes_por_Sessao" numFmtId="0">
      <sharedItems containsSemiMixedTypes="0" containsString="0" containsNumber="1" containsInteger="1" minValue="2" maxValue="18"/>
    </cacheField>
    <cacheField name="Tamanho_MB" numFmtId="0">
      <sharedItems containsSemiMixedTypes="0" containsString="0" containsNumber="1" minValue="0.5" maxValue="7"/>
    </cacheField>
    <cacheField name="Tipo_Usuario" numFmtId="0">
      <sharedItems/>
    </cacheField>
    <cacheField name="Regiao" numFmtId="0">
      <sharedItems count="4">
        <s v="Sudeste"/>
        <s v="Sul"/>
        <s v="Nordeste"/>
        <s v="Norte"/>
      </sharedItems>
    </cacheField>
    <cacheField name="Prioridade" numFmtId="0">
      <sharedItems count="3">
        <s v="Baixa"/>
        <s v="Média"/>
        <s v="Alta"/>
      </sharedItems>
    </cacheField>
    <cacheField name="Status" numFmtId="0">
      <sharedItems count="2">
        <s v="Sucesso"/>
        <s v="Er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s v="Externo"/>
    <x v="0"/>
    <s v="Baixa"/>
    <s v="Sucesso"/>
  </r>
  <r>
    <x v="1"/>
    <x v="1"/>
    <x v="1"/>
    <x v="1"/>
    <s v="Externo"/>
    <x v="1"/>
    <s v="Média"/>
    <s v="Sucesso"/>
  </r>
  <r>
    <x v="2"/>
    <x v="2"/>
    <x v="2"/>
    <x v="2"/>
    <s v="Interno"/>
    <x v="2"/>
    <s v="Baixa"/>
    <s v="Sucesso"/>
  </r>
  <r>
    <x v="3"/>
    <x v="3"/>
    <x v="3"/>
    <x v="3"/>
    <s v="Externo"/>
    <x v="0"/>
    <s v="Alta"/>
    <s v="Sucesso"/>
  </r>
  <r>
    <x v="4"/>
    <x v="4"/>
    <x v="4"/>
    <x v="4"/>
    <s v="Interno"/>
    <x v="1"/>
    <s v="Média"/>
    <s v="Sucesso"/>
  </r>
  <r>
    <x v="5"/>
    <x v="5"/>
    <x v="0"/>
    <x v="5"/>
    <s v="Externo"/>
    <x v="0"/>
    <s v="Baixa"/>
    <s v="Erro"/>
  </r>
  <r>
    <x v="6"/>
    <x v="6"/>
    <x v="5"/>
    <x v="6"/>
    <s v="Interno"/>
    <x v="3"/>
    <s v="Alta"/>
    <s v="Sucesso"/>
  </r>
  <r>
    <x v="7"/>
    <x v="7"/>
    <x v="2"/>
    <x v="7"/>
    <s v="Externo"/>
    <x v="0"/>
    <s v="Média"/>
    <s v="Sucesso"/>
  </r>
  <r>
    <x v="8"/>
    <x v="8"/>
    <x v="4"/>
    <x v="8"/>
    <s v="Interno"/>
    <x v="1"/>
    <s v="Baixa"/>
    <s v="Sucesso"/>
  </r>
  <r>
    <x v="9"/>
    <x v="9"/>
    <x v="3"/>
    <x v="9"/>
    <s v="Externo"/>
    <x v="2"/>
    <s v="Alta"/>
    <s v="Erro"/>
  </r>
  <r>
    <x v="10"/>
    <x v="10"/>
    <x v="1"/>
    <x v="10"/>
    <s v="Externo"/>
    <x v="0"/>
    <s v="Média"/>
    <s v="Sucesso"/>
  </r>
  <r>
    <x v="11"/>
    <x v="11"/>
    <x v="6"/>
    <x v="11"/>
    <s v="Externo"/>
    <x v="1"/>
    <s v="Baixa"/>
    <s v="Sucesso"/>
  </r>
  <r>
    <x v="12"/>
    <x v="12"/>
    <x v="1"/>
    <x v="12"/>
    <s v="Interno"/>
    <x v="3"/>
    <s v="Baixa"/>
    <s v="Sucesso"/>
  </r>
  <r>
    <x v="13"/>
    <x v="13"/>
    <x v="7"/>
    <x v="13"/>
    <s v="Externo"/>
    <x v="0"/>
    <s v="Média"/>
    <s v="Sucesso"/>
  </r>
  <r>
    <x v="14"/>
    <x v="14"/>
    <x v="8"/>
    <x v="14"/>
    <s v="Interno"/>
    <x v="1"/>
    <s v="Baixa"/>
    <s v="Erro"/>
  </r>
  <r>
    <x v="15"/>
    <x v="15"/>
    <x v="5"/>
    <x v="15"/>
    <s v="Externo"/>
    <x v="2"/>
    <s v="Alta"/>
    <s v="Sucesso"/>
  </r>
  <r>
    <x v="16"/>
    <x v="16"/>
    <x v="4"/>
    <x v="16"/>
    <s v="Interno"/>
    <x v="0"/>
    <s v="Média"/>
    <s v="Sucesso"/>
  </r>
  <r>
    <x v="17"/>
    <x v="17"/>
    <x v="9"/>
    <x v="17"/>
    <s v="Externo"/>
    <x v="3"/>
    <s v="Baixa"/>
    <s v="Erro"/>
  </r>
  <r>
    <x v="18"/>
    <x v="18"/>
    <x v="10"/>
    <x v="18"/>
    <s v="Interno"/>
    <x v="0"/>
    <s v="Alta"/>
    <s v="Sucesso"/>
  </r>
  <r>
    <x v="19"/>
    <x v="19"/>
    <x v="8"/>
    <x v="19"/>
    <s v="Externo"/>
    <x v="1"/>
    <s v="Média"/>
    <s v="Sucesso"/>
  </r>
  <r>
    <x v="20"/>
    <x v="20"/>
    <x v="7"/>
    <x v="20"/>
    <s v="Externo"/>
    <x v="2"/>
    <s v="Baixa"/>
    <s v="Erro"/>
  </r>
  <r>
    <x v="21"/>
    <x v="21"/>
    <x v="9"/>
    <x v="21"/>
    <s v="Externo"/>
    <x v="0"/>
    <s v="Alta"/>
    <s v="Sucesso"/>
  </r>
  <r>
    <x v="22"/>
    <x v="22"/>
    <x v="10"/>
    <x v="22"/>
    <s v="Interno"/>
    <x v="1"/>
    <s v="Média"/>
    <s v="Sucesso"/>
  </r>
  <r>
    <x v="23"/>
    <x v="23"/>
    <x v="11"/>
    <x v="23"/>
    <s v="Externo"/>
    <x v="3"/>
    <s v="Baixa"/>
    <s v="Erro"/>
  </r>
  <r>
    <x v="24"/>
    <x v="24"/>
    <x v="12"/>
    <x v="24"/>
    <s v="Interno"/>
    <x v="0"/>
    <s v="Baixa"/>
    <s v="Sucesso"/>
  </r>
  <r>
    <x v="25"/>
    <x v="25"/>
    <x v="11"/>
    <x v="25"/>
    <s v="Externo"/>
    <x v="1"/>
    <s v="Média"/>
    <s v="Sucesso"/>
  </r>
  <r>
    <x v="26"/>
    <x v="26"/>
    <x v="13"/>
    <x v="26"/>
    <s v="Interno"/>
    <x v="2"/>
    <s v="Baixa"/>
    <s v="Erro"/>
  </r>
  <r>
    <x v="27"/>
    <x v="27"/>
    <x v="12"/>
    <x v="27"/>
    <s v="Externo"/>
    <x v="0"/>
    <s v="Alta"/>
    <s v="Sucesso"/>
  </r>
  <r>
    <x v="28"/>
    <x v="28"/>
    <x v="14"/>
    <x v="28"/>
    <s v="Interno"/>
    <x v="3"/>
    <s v="Média"/>
    <s v="Erro"/>
  </r>
  <r>
    <x v="29"/>
    <x v="29"/>
    <x v="15"/>
    <x v="29"/>
    <s v="Externo"/>
    <x v="0"/>
    <s v="Baixa"/>
    <s v="Erro"/>
  </r>
  <r>
    <x v="30"/>
    <x v="30"/>
    <x v="6"/>
    <x v="30"/>
    <s v="Interno"/>
    <x v="1"/>
    <s v="Baixa"/>
    <s v="Sucesso"/>
  </r>
  <r>
    <x v="31"/>
    <x v="31"/>
    <x v="1"/>
    <x v="12"/>
    <s v="Externo"/>
    <x v="2"/>
    <s v="Média"/>
    <s v="Sucesso"/>
  </r>
  <r>
    <x v="32"/>
    <x v="32"/>
    <x v="3"/>
    <x v="11"/>
    <s v="Interno"/>
    <x v="0"/>
    <s v="Baixa"/>
    <s v="Sucesso"/>
  </r>
  <r>
    <x v="33"/>
    <x v="33"/>
    <x v="6"/>
    <x v="1"/>
    <s v="Externo"/>
    <x v="1"/>
    <s v="Alta"/>
    <s v="Sucesso"/>
  </r>
  <r>
    <x v="34"/>
    <x v="34"/>
    <x v="1"/>
    <x v="10"/>
    <s v="Interno"/>
    <x v="3"/>
    <s v="Média"/>
    <s v="Sucesso"/>
  </r>
  <r>
    <x v="35"/>
    <x v="35"/>
    <x v="3"/>
    <x v="9"/>
    <s v="Externo"/>
    <x v="0"/>
    <s v="Baixa"/>
    <s v="Erro"/>
  </r>
  <r>
    <x v="36"/>
    <x v="36"/>
    <x v="0"/>
    <x v="4"/>
    <s v="Interno"/>
    <x v="1"/>
    <s v="Baixa"/>
    <s v="Sucesso"/>
  </r>
  <r>
    <x v="37"/>
    <x v="37"/>
    <x v="2"/>
    <x v="0"/>
    <s v="Externo"/>
    <x v="2"/>
    <s v="Média"/>
    <s v="Sucesso"/>
  </r>
  <r>
    <x v="38"/>
    <x v="38"/>
    <x v="0"/>
    <x v="5"/>
    <s v="Interno"/>
    <x v="0"/>
    <s v="Baixa"/>
    <s v="Sucesso"/>
  </r>
  <r>
    <x v="39"/>
    <x v="39"/>
    <x v="3"/>
    <x v="31"/>
    <s v="Externo"/>
    <x v="1"/>
    <s v="Alta"/>
    <s v="Erro"/>
  </r>
  <r>
    <x v="40"/>
    <x v="40"/>
    <x v="2"/>
    <x v="32"/>
    <s v="Interno"/>
    <x v="3"/>
    <s v="Média"/>
    <s v="Sucesso"/>
  </r>
  <r>
    <x v="41"/>
    <x v="41"/>
    <x v="4"/>
    <x v="33"/>
    <s v="Externo"/>
    <x v="0"/>
    <s v="Baixa"/>
    <s v="Sucesso"/>
  </r>
  <r>
    <x v="42"/>
    <x v="42"/>
    <x v="5"/>
    <x v="8"/>
    <s v="Interno"/>
    <x v="1"/>
    <s v="Alta"/>
    <s v="Sucesso"/>
  </r>
  <r>
    <x v="43"/>
    <x v="43"/>
    <x v="4"/>
    <x v="34"/>
    <s v="Externo"/>
    <x v="2"/>
    <s v="Média"/>
    <s v="Erro"/>
  </r>
  <r>
    <x v="44"/>
    <x v="44"/>
    <x v="2"/>
    <x v="3"/>
    <s v="Interno"/>
    <x v="0"/>
    <s v="Baixa"/>
    <s v="Sucesso"/>
  </r>
  <r>
    <x v="45"/>
    <x v="45"/>
    <x v="5"/>
    <x v="7"/>
    <s v="Externo"/>
    <x v="1"/>
    <s v="Alta"/>
    <s v="Sucesso"/>
  </r>
  <r>
    <x v="46"/>
    <x v="46"/>
    <x v="7"/>
    <x v="6"/>
    <s v="Interno"/>
    <x v="3"/>
    <s v="Média"/>
    <s v="Erro"/>
  </r>
  <r>
    <x v="47"/>
    <x v="47"/>
    <x v="4"/>
    <x v="35"/>
    <s v="Externo"/>
    <x v="0"/>
    <s v="Baixa"/>
    <s v="Sucesso"/>
  </r>
  <r>
    <x v="48"/>
    <x v="48"/>
    <x v="8"/>
    <x v="13"/>
    <s v="Interno"/>
    <x v="1"/>
    <s v="Alta"/>
    <s v="Sucesso"/>
  </r>
  <r>
    <x v="49"/>
    <x v="49"/>
    <x v="9"/>
    <x v="36"/>
    <s v="Externo"/>
    <x v="2"/>
    <s v="Média"/>
    <s v="Erro"/>
  </r>
  <r>
    <x v="50"/>
    <x v="50"/>
    <x v="10"/>
    <x v="37"/>
    <s v="Interno"/>
    <x v="0"/>
    <s v="Baixa"/>
    <s v="Sucesso"/>
  </r>
  <r>
    <x v="51"/>
    <x v="51"/>
    <x v="11"/>
    <x v="38"/>
    <s v="Externo"/>
    <x v="1"/>
    <s v="Alta"/>
    <s v="Sucesso"/>
  </r>
  <r>
    <x v="52"/>
    <x v="52"/>
    <x v="9"/>
    <x v="39"/>
    <s v="Interno"/>
    <x v="3"/>
    <s v="Média"/>
    <s v="Erro"/>
  </r>
  <r>
    <x v="53"/>
    <x v="53"/>
    <x v="8"/>
    <x v="40"/>
    <s v="Externo"/>
    <x v="0"/>
    <s v="Baixa"/>
    <s v="Sucesso"/>
  </r>
  <r>
    <x v="54"/>
    <x v="54"/>
    <x v="10"/>
    <x v="41"/>
    <s v="Interno"/>
    <x v="1"/>
    <s v="Alta"/>
    <s v="Erro"/>
  </r>
  <r>
    <x v="55"/>
    <x v="55"/>
    <x v="11"/>
    <x v="42"/>
    <s v="Externo"/>
    <x v="2"/>
    <s v="Média"/>
    <s v="Sucesso"/>
  </r>
  <r>
    <x v="56"/>
    <x v="56"/>
    <x v="12"/>
    <x v="43"/>
    <s v="Interno"/>
    <x v="0"/>
    <s v="Baixa"/>
    <s v="Erro"/>
  </r>
  <r>
    <x v="57"/>
    <x v="57"/>
    <x v="11"/>
    <x v="44"/>
    <s v="Externo"/>
    <x v="1"/>
    <s v="Alta"/>
    <s v="Sucesso"/>
  </r>
  <r>
    <x v="58"/>
    <x v="58"/>
    <x v="13"/>
    <x v="45"/>
    <s v="Interno"/>
    <x v="3"/>
    <s v="Média"/>
    <s v="Erro"/>
  </r>
  <r>
    <x v="59"/>
    <x v="59"/>
    <x v="12"/>
    <x v="26"/>
    <s v="Externo"/>
    <x v="0"/>
    <s v="Baixa"/>
    <s v="Sucess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x v="0"/>
    <n v="1.2"/>
    <s v="Externo"/>
    <x v="0"/>
    <s v="Baixa"/>
    <s v="Sucesso"/>
  </r>
  <r>
    <n v="2"/>
    <n v="135"/>
    <x v="1"/>
    <n v="0.8"/>
    <s v="Externo"/>
    <x v="1"/>
    <s v="Média"/>
    <s v="Sucesso"/>
  </r>
  <r>
    <n v="3"/>
    <n v="150"/>
    <x v="2"/>
    <n v="1.5"/>
    <s v="Interno"/>
    <x v="2"/>
    <s v="Baixa"/>
    <s v="Sucesso"/>
  </r>
  <r>
    <n v="4"/>
    <n v="160"/>
    <x v="3"/>
    <n v="2"/>
    <s v="Externo"/>
    <x v="0"/>
    <s v="Alta"/>
    <s v="Sucesso"/>
  </r>
  <r>
    <n v="5"/>
    <n v="145"/>
    <x v="4"/>
    <n v="1.1000000000000001"/>
    <s v="Interno"/>
    <x v="1"/>
    <s v="Média"/>
    <s v="Sucesso"/>
  </r>
  <r>
    <n v="6"/>
    <n v="155"/>
    <x v="0"/>
    <n v="1.3"/>
    <s v="Externo"/>
    <x v="0"/>
    <s v="Baixa"/>
    <s v="Erro"/>
  </r>
  <r>
    <n v="7"/>
    <n v="170"/>
    <x v="5"/>
    <n v="2.5"/>
    <s v="Interno"/>
    <x v="3"/>
    <s v="Alta"/>
    <s v="Sucesso"/>
  </r>
  <r>
    <n v="8"/>
    <n v="180"/>
    <x v="2"/>
    <n v="2.2000000000000002"/>
    <s v="Externo"/>
    <x v="0"/>
    <s v="Média"/>
    <s v="Sucesso"/>
  </r>
  <r>
    <n v="9"/>
    <n v="175"/>
    <x v="4"/>
    <n v="1.8"/>
    <s v="Interno"/>
    <x v="1"/>
    <s v="Baixa"/>
    <s v="Sucesso"/>
  </r>
  <r>
    <n v="10"/>
    <n v="165"/>
    <x v="3"/>
    <n v="1"/>
    <s v="Externo"/>
    <x v="2"/>
    <s v="Alta"/>
    <s v="Erro"/>
  </r>
  <r>
    <n v="11"/>
    <n v="140"/>
    <x v="1"/>
    <n v="0.9"/>
    <s v="Externo"/>
    <x v="0"/>
    <s v="Média"/>
    <s v="Sucesso"/>
  </r>
  <r>
    <n v="12"/>
    <n v="130"/>
    <x v="6"/>
    <n v="0.7"/>
    <s v="Externo"/>
    <x v="1"/>
    <s v="Baixa"/>
    <s v="Sucesso"/>
  </r>
  <r>
    <n v="13"/>
    <n v="125"/>
    <x v="1"/>
    <n v="0.6"/>
    <s v="Interno"/>
    <x v="3"/>
    <s v="Baixa"/>
    <s v="Sucesso"/>
  </r>
  <r>
    <n v="14"/>
    <n v="200"/>
    <x v="7"/>
    <n v="3"/>
    <s v="Externo"/>
    <x v="0"/>
    <s v="Média"/>
    <s v="Sucesso"/>
  </r>
  <r>
    <n v="15"/>
    <n v="210"/>
    <x v="8"/>
    <n v="3.2"/>
    <s v="Interno"/>
    <x v="1"/>
    <s v="Baixa"/>
    <s v="Erro"/>
  </r>
  <r>
    <n v="16"/>
    <n v="190"/>
    <x v="5"/>
    <n v="2.8"/>
    <s v="Externo"/>
    <x v="2"/>
    <s v="Alta"/>
    <s v="Sucesso"/>
  </r>
  <r>
    <n v="17"/>
    <n v="185"/>
    <x v="4"/>
    <n v="2.4"/>
    <s v="Interno"/>
    <x v="0"/>
    <s v="Média"/>
    <s v="Sucesso"/>
  </r>
  <r>
    <n v="18"/>
    <n v="220"/>
    <x v="9"/>
    <n v="3.5"/>
    <s v="Externo"/>
    <x v="3"/>
    <s v="Baixa"/>
    <s v="Erro"/>
  </r>
  <r>
    <n v="19"/>
    <n v="230"/>
    <x v="10"/>
    <n v="3.8"/>
    <s v="Interno"/>
    <x v="0"/>
    <s v="Alta"/>
    <s v="Sucesso"/>
  </r>
  <r>
    <n v="20"/>
    <n v="240"/>
    <x v="8"/>
    <n v="4"/>
    <s v="Externo"/>
    <x v="1"/>
    <s v="Média"/>
    <s v="Sucesso"/>
  </r>
  <r>
    <n v="21"/>
    <n v="250"/>
    <x v="7"/>
    <n v="4.2"/>
    <s v="Externo"/>
    <x v="2"/>
    <s v="Baixa"/>
    <s v="Erro"/>
  </r>
  <r>
    <n v="22"/>
    <n v="260"/>
    <x v="9"/>
    <n v="4.5"/>
    <s v="Externo"/>
    <x v="0"/>
    <s v="Alta"/>
    <s v="Sucesso"/>
  </r>
  <r>
    <n v="23"/>
    <n v="270"/>
    <x v="10"/>
    <n v="4.8"/>
    <s v="Interno"/>
    <x v="1"/>
    <s v="Média"/>
    <s v="Sucesso"/>
  </r>
  <r>
    <n v="24"/>
    <n v="300"/>
    <x v="11"/>
    <n v="5"/>
    <s v="Externo"/>
    <x v="3"/>
    <s v="Baixa"/>
    <s v="Erro"/>
  </r>
  <r>
    <n v="25"/>
    <n v="310"/>
    <x v="12"/>
    <n v="5.5"/>
    <s v="Interno"/>
    <x v="0"/>
    <s v="Baixa"/>
    <s v="Sucesso"/>
  </r>
  <r>
    <n v="26"/>
    <n v="320"/>
    <x v="11"/>
    <n v="5.8"/>
    <s v="Externo"/>
    <x v="1"/>
    <s v="Média"/>
    <s v="Sucesso"/>
  </r>
  <r>
    <n v="27"/>
    <n v="330"/>
    <x v="13"/>
    <n v="6"/>
    <s v="Interno"/>
    <x v="2"/>
    <s v="Baixa"/>
    <s v="Erro"/>
  </r>
  <r>
    <n v="28"/>
    <n v="340"/>
    <x v="12"/>
    <n v="6.2"/>
    <s v="Externo"/>
    <x v="0"/>
    <s v="Alta"/>
    <s v="Sucesso"/>
  </r>
  <r>
    <n v="29"/>
    <n v="350"/>
    <x v="14"/>
    <n v="6.5"/>
    <s v="Interno"/>
    <x v="3"/>
    <s v="Média"/>
    <s v="Erro"/>
  </r>
  <r>
    <n v="30"/>
    <n v="400"/>
    <x v="15"/>
    <n v="7"/>
    <s v="Externo"/>
    <x v="0"/>
    <s v="Baixa"/>
    <s v="Erro"/>
  </r>
  <r>
    <n v="31"/>
    <n v="115"/>
    <x v="6"/>
    <n v="0.5"/>
    <s v="Interno"/>
    <x v="1"/>
    <s v="Baixa"/>
    <s v="Sucesso"/>
  </r>
  <r>
    <n v="32"/>
    <n v="118"/>
    <x v="1"/>
    <n v="0.6"/>
    <s v="Externo"/>
    <x v="2"/>
    <s v="Média"/>
    <s v="Sucesso"/>
  </r>
  <r>
    <n v="33"/>
    <n v="122"/>
    <x v="3"/>
    <n v="0.7"/>
    <s v="Interno"/>
    <x v="0"/>
    <s v="Baixa"/>
    <s v="Sucesso"/>
  </r>
  <r>
    <n v="34"/>
    <n v="128"/>
    <x v="6"/>
    <n v="0.8"/>
    <s v="Externo"/>
    <x v="1"/>
    <s v="Alta"/>
    <s v="Sucesso"/>
  </r>
  <r>
    <n v="35"/>
    <n v="132"/>
    <x v="1"/>
    <n v="0.9"/>
    <s v="Interno"/>
    <x v="3"/>
    <s v="Média"/>
    <s v="Sucesso"/>
  </r>
  <r>
    <n v="36"/>
    <n v="138"/>
    <x v="3"/>
    <n v="1"/>
    <s v="Externo"/>
    <x v="0"/>
    <s v="Baixa"/>
    <s v="Erro"/>
  </r>
  <r>
    <n v="37"/>
    <n v="142"/>
    <x v="0"/>
    <n v="1.1000000000000001"/>
    <s v="Interno"/>
    <x v="1"/>
    <s v="Baixa"/>
    <s v="Sucesso"/>
  </r>
  <r>
    <n v="38"/>
    <n v="148"/>
    <x v="2"/>
    <n v="1.2"/>
    <s v="Externo"/>
    <x v="2"/>
    <s v="Média"/>
    <s v="Sucesso"/>
  </r>
  <r>
    <n v="39"/>
    <n v="152"/>
    <x v="0"/>
    <n v="1.3"/>
    <s v="Interno"/>
    <x v="0"/>
    <s v="Baixa"/>
    <s v="Sucesso"/>
  </r>
  <r>
    <n v="40"/>
    <n v="158"/>
    <x v="3"/>
    <n v="1.4"/>
    <s v="Externo"/>
    <x v="1"/>
    <s v="Alta"/>
    <s v="Erro"/>
  </r>
  <r>
    <n v="41"/>
    <n v="162"/>
    <x v="2"/>
    <n v="1.6"/>
    <s v="Interno"/>
    <x v="3"/>
    <s v="Média"/>
    <s v="Sucesso"/>
  </r>
  <r>
    <n v="42"/>
    <n v="168"/>
    <x v="4"/>
    <n v="1.7"/>
    <s v="Externo"/>
    <x v="0"/>
    <s v="Baixa"/>
    <s v="Sucesso"/>
  </r>
  <r>
    <n v="43"/>
    <n v="172"/>
    <x v="5"/>
    <n v="1.8"/>
    <s v="Interno"/>
    <x v="1"/>
    <s v="Alta"/>
    <s v="Sucesso"/>
  </r>
  <r>
    <n v="44"/>
    <n v="178"/>
    <x v="4"/>
    <n v="1.9"/>
    <s v="Externo"/>
    <x v="2"/>
    <s v="Média"/>
    <s v="Erro"/>
  </r>
  <r>
    <n v="45"/>
    <n v="182"/>
    <x v="2"/>
    <n v="2"/>
    <s v="Interno"/>
    <x v="0"/>
    <s v="Baixa"/>
    <s v="Sucesso"/>
  </r>
  <r>
    <n v="46"/>
    <n v="188"/>
    <x v="5"/>
    <n v="2.2000000000000002"/>
    <s v="Externo"/>
    <x v="1"/>
    <s v="Alta"/>
    <s v="Sucesso"/>
  </r>
  <r>
    <n v="47"/>
    <n v="192"/>
    <x v="7"/>
    <n v="2.5"/>
    <s v="Interno"/>
    <x v="3"/>
    <s v="Média"/>
    <s v="Erro"/>
  </r>
  <r>
    <n v="48"/>
    <n v="198"/>
    <x v="4"/>
    <n v="2.7"/>
    <s v="Externo"/>
    <x v="0"/>
    <s v="Baixa"/>
    <s v="Sucesso"/>
  </r>
  <r>
    <n v="49"/>
    <n v="205"/>
    <x v="8"/>
    <n v="3"/>
    <s v="Interno"/>
    <x v="1"/>
    <s v="Alta"/>
    <s v="Sucesso"/>
  </r>
  <r>
    <n v="50"/>
    <n v="215"/>
    <x v="9"/>
    <n v="3.3"/>
    <s v="Externo"/>
    <x v="2"/>
    <s v="Média"/>
    <s v="Erro"/>
  </r>
  <r>
    <n v="51"/>
    <n v="225"/>
    <x v="10"/>
    <n v="3.6"/>
    <s v="Interno"/>
    <x v="0"/>
    <s v="Baixa"/>
    <s v="Sucesso"/>
  </r>
  <r>
    <n v="52"/>
    <n v="235"/>
    <x v="11"/>
    <n v="3.9"/>
    <s v="Externo"/>
    <x v="1"/>
    <s v="Alta"/>
    <s v="Sucesso"/>
  </r>
  <r>
    <n v="53"/>
    <n v="245"/>
    <x v="9"/>
    <n v="4.0999999999999996"/>
    <s v="Interno"/>
    <x v="3"/>
    <s v="Média"/>
    <s v="Erro"/>
  </r>
  <r>
    <n v="54"/>
    <n v="255"/>
    <x v="8"/>
    <n v="4.3"/>
    <s v="Externo"/>
    <x v="0"/>
    <s v="Baixa"/>
    <s v="Sucesso"/>
  </r>
  <r>
    <n v="55"/>
    <n v="265"/>
    <x v="10"/>
    <n v="4.5999999999999996"/>
    <s v="Interno"/>
    <x v="1"/>
    <s v="Alta"/>
    <s v="Erro"/>
  </r>
  <r>
    <n v="56"/>
    <n v="275"/>
    <x v="11"/>
    <n v="4.9000000000000004"/>
    <s v="Externo"/>
    <x v="2"/>
    <s v="Média"/>
    <s v="Sucesso"/>
  </r>
  <r>
    <n v="57"/>
    <n v="285"/>
    <x v="12"/>
    <n v="5.2"/>
    <s v="Interno"/>
    <x v="0"/>
    <s v="Baixa"/>
    <s v="Erro"/>
  </r>
  <r>
    <n v="58"/>
    <n v="295"/>
    <x v="11"/>
    <n v="5.4"/>
    <s v="Externo"/>
    <x v="1"/>
    <s v="Alta"/>
    <s v="Sucesso"/>
  </r>
  <r>
    <n v="59"/>
    <n v="305"/>
    <x v="13"/>
    <n v="5.7"/>
    <s v="Interno"/>
    <x v="3"/>
    <s v="Média"/>
    <s v="Erro"/>
  </r>
  <r>
    <n v="60"/>
    <n v="315"/>
    <x v="12"/>
    <n v="6"/>
    <s v="Externo"/>
    <x v="0"/>
    <s v="Baixa"/>
    <s v="Sucess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x v="0"/>
    <s v="Externo"/>
    <x v="0"/>
    <s v="Baixa"/>
    <s v="Sucesso"/>
  </r>
  <r>
    <n v="2"/>
    <n v="135"/>
    <n v="3"/>
    <x v="1"/>
    <s v="Externo"/>
    <x v="1"/>
    <s v="Média"/>
    <s v="Sucesso"/>
  </r>
  <r>
    <n v="3"/>
    <n v="150"/>
    <n v="6"/>
    <x v="2"/>
    <s v="Interno"/>
    <x v="2"/>
    <s v="Baixa"/>
    <s v="Sucesso"/>
  </r>
  <r>
    <n v="4"/>
    <n v="160"/>
    <n v="4"/>
    <x v="3"/>
    <s v="Externo"/>
    <x v="0"/>
    <s v="Alta"/>
    <s v="Sucesso"/>
  </r>
  <r>
    <n v="5"/>
    <n v="145"/>
    <n v="7"/>
    <x v="4"/>
    <s v="Interno"/>
    <x v="1"/>
    <s v="Média"/>
    <s v="Sucesso"/>
  </r>
  <r>
    <n v="6"/>
    <n v="155"/>
    <n v="5"/>
    <x v="5"/>
    <s v="Externo"/>
    <x v="0"/>
    <s v="Baixa"/>
    <s v="Erro"/>
  </r>
  <r>
    <n v="7"/>
    <n v="170"/>
    <n v="8"/>
    <x v="6"/>
    <s v="Interno"/>
    <x v="3"/>
    <s v="Alta"/>
    <s v="Sucesso"/>
  </r>
  <r>
    <n v="8"/>
    <n v="180"/>
    <n v="6"/>
    <x v="7"/>
    <s v="Externo"/>
    <x v="0"/>
    <s v="Média"/>
    <s v="Sucesso"/>
  </r>
  <r>
    <n v="9"/>
    <n v="175"/>
    <n v="7"/>
    <x v="8"/>
    <s v="Interno"/>
    <x v="1"/>
    <s v="Baixa"/>
    <s v="Sucesso"/>
  </r>
  <r>
    <n v="10"/>
    <n v="165"/>
    <n v="4"/>
    <x v="9"/>
    <s v="Externo"/>
    <x v="2"/>
    <s v="Alta"/>
    <s v="Erro"/>
  </r>
  <r>
    <n v="11"/>
    <n v="140"/>
    <n v="3"/>
    <x v="10"/>
    <s v="Externo"/>
    <x v="0"/>
    <s v="Média"/>
    <s v="Sucesso"/>
  </r>
  <r>
    <n v="12"/>
    <n v="130"/>
    <n v="2"/>
    <x v="11"/>
    <s v="Externo"/>
    <x v="1"/>
    <s v="Baixa"/>
    <s v="Sucesso"/>
  </r>
  <r>
    <n v="13"/>
    <n v="125"/>
    <n v="3"/>
    <x v="12"/>
    <s v="Interno"/>
    <x v="3"/>
    <s v="Baixa"/>
    <s v="Sucesso"/>
  </r>
  <r>
    <n v="14"/>
    <n v="200"/>
    <n v="9"/>
    <x v="13"/>
    <s v="Externo"/>
    <x v="0"/>
    <s v="Média"/>
    <s v="Sucesso"/>
  </r>
  <r>
    <n v="15"/>
    <n v="210"/>
    <n v="10"/>
    <x v="14"/>
    <s v="Interno"/>
    <x v="1"/>
    <s v="Baixa"/>
    <s v="Erro"/>
  </r>
  <r>
    <n v="16"/>
    <n v="190"/>
    <n v="8"/>
    <x v="15"/>
    <s v="Externo"/>
    <x v="2"/>
    <s v="Alta"/>
    <s v="Sucesso"/>
  </r>
  <r>
    <n v="17"/>
    <n v="185"/>
    <n v="7"/>
    <x v="16"/>
    <s v="Interno"/>
    <x v="0"/>
    <s v="Média"/>
    <s v="Sucesso"/>
  </r>
  <r>
    <n v="18"/>
    <n v="220"/>
    <n v="11"/>
    <x v="17"/>
    <s v="Externo"/>
    <x v="3"/>
    <s v="Baixa"/>
    <s v="Erro"/>
  </r>
  <r>
    <n v="19"/>
    <n v="230"/>
    <n v="12"/>
    <x v="18"/>
    <s v="Interno"/>
    <x v="0"/>
    <s v="Alta"/>
    <s v="Sucesso"/>
  </r>
  <r>
    <n v="20"/>
    <n v="240"/>
    <n v="10"/>
    <x v="19"/>
    <s v="Externo"/>
    <x v="1"/>
    <s v="Média"/>
    <s v="Sucesso"/>
  </r>
  <r>
    <n v="21"/>
    <n v="250"/>
    <n v="9"/>
    <x v="20"/>
    <s v="Externo"/>
    <x v="2"/>
    <s v="Baixa"/>
    <s v="Erro"/>
  </r>
  <r>
    <n v="22"/>
    <n v="260"/>
    <n v="11"/>
    <x v="21"/>
    <s v="Externo"/>
    <x v="0"/>
    <s v="Alta"/>
    <s v="Sucesso"/>
  </r>
  <r>
    <n v="23"/>
    <n v="270"/>
    <n v="12"/>
    <x v="22"/>
    <s v="Interno"/>
    <x v="1"/>
    <s v="Média"/>
    <s v="Sucesso"/>
  </r>
  <r>
    <n v="24"/>
    <n v="300"/>
    <n v="13"/>
    <x v="23"/>
    <s v="Externo"/>
    <x v="3"/>
    <s v="Baixa"/>
    <s v="Erro"/>
  </r>
  <r>
    <n v="25"/>
    <n v="310"/>
    <n v="14"/>
    <x v="24"/>
    <s v="Interno"/>
    <x v="0"/>
    <s v="Baixa"/>
    <s v="Sucesso"/>
  </r>
  <r>
    <n v="26"/>
    <n v="320"/>
    <n v="13"/>
    <x v="25"/>
    <s v="Externo"/>
    <x v="1"/>
    <s v="Média"/>
    <s v="Sucesso"/>
  </r>
  <r>
    <n v="27"/>
    <n v="330"/>
    <n v="15"/>
    <x v="26"/>
    <s v="Interno"/>
    <x v="2"/>
    <s v="Baixa"/>
    <s v="Erro"/>
  </r>
  <r>
    <n v="28"/>
    <n v="340"/>
    <n v="14"/>
    <x v="27"/>
    <s v="Externo"/>
    <x v="0"/>
    <s v="Alta"/>
    <s v="Sucesso"/>
  </r>
  <r>
    <n v="29"/>
    <n v="350"/>
    <n v="16"/>
    <x v="28"/>
    <s v="Interno"/>
    <x v="3"/>
    <s v="Média"/>
    <s v="Erro"/>
  </r>
  <r>
    <n v="30"/>
    <n v="400"/>
    <n v="18"/>
    <x v="29"/>
    <s v="Externo"/>
    <x v="0"/>
    <s v="Baixa"/>
    <s v="Erro"/>
  </r>
  <r>
    <n v="31"/>
    <n v="115"/>
    <n v="2"/>
    <x v="30"/>
    <s v="Interno"/>
    <x v="1"/>
    <s v="Baixa"/>
    <s v="Sucesso"/>
  </r>
  <r>
    <n v="32"/>
    <n v="118"/>
    <n v="3"/>
    <x v="12"/>
    <s v="Externo"/>
    <x v="2"/>
    <s v="Média"/>
    <s v="Sucesso"/>
  </r>
  <r>
    <n v="33"/>
    <n v="122"/>
    <n v="4"/>
    <x v="11"/>
    <s v="Interno"/>
    <x v="0"/>
    <s v="Baixa"/>
    <s v="Sucesso"/>
  </r>
  <r>
    <n v="34"/>
    <n v="128"/>
    <n v="2"/>
    <x v="1"/>
    <s v="Externo"/>
    <x v="1"/>
    <s v="Alta"/>
    <s v="Sucesso"/>
  </r>
  <r>
    <n v="35"/>
    <n v="132"/>
    <n v="3"/>
    <x v="10"/>
    <s v="Interno"/>
    <x v="3"/>
    <s v="Média"/>
    <s v="Sucesso"/>
  </r>
  <r>
    <n v="36"/>
    <n v="138"/>
    <n v="4"/>
    <x v="9"/>
    <s v="Externo"/>
    <x v="0"/>
    <s v="Baixa"/>
    <s v="Erro"/>
  </r>
  <r>
    <n v="37"/>
    <n v="142"/>
    <n v="5"/>
    <x v="4"/>
    <s v="Interno"/>
    <x v="1"/>
    <s v="Baixa"/>
    <s v="Sucesso"/>
  </r>
  <r>
    <n v="38"/>
    <n v="148"/>
    <n v="6"/>
    <x v="0"/>
    <s v="Externo"/>
    <x v="2"/>
    <s v="Média"/>
    <s v="Sucesso"/>
  </r>
  <r>
    <n v="39"/>
    <n v="152"/>
    <n v="5"/>
    <x v="5"/>
    <s v="Interno"/>
    <x v="0"/>
    <s v="Baixa"/>
    <s v="Sucesso"/>
  </r>
  <r>
    <n v="40"/>
    <n v="158"/>
    <n v="4"/>
    <x v="31"/>
    <s v="Externo"/>
    <x v="1"/>
    <s v="Alta"/>
    <s v="Erro"/>
  </r>
  <r>
    <n v="41"/>
    <n v="162"/>
    <n v="6"/>
    <x v="32"/>
    <s v="Interno"/>
    <x v="3"/>
    <s v="Média"/>
    <s v="Sucesso"/>
  </r>
  <r>
    <n v="42"/>
    <n v="168"/>
    <n v="7"/>
    <x v="33"/>
    <s v="Externo"/>
    <x v="0"/>
    <s v="Baixa"/>
    <s v="Sucesso"/>
  </r>
  <r>
    <n v="43"/>
    <n v="172"/>
    <n v="8"/>
    <x v="8"/>
    <s v="Interno"/>
    <x v="1"/>
    <s v="Alta"/>
    <s v="Sucesso"/>
  </r>
  <r>
    <n v="44"/>
    <n v="178"/>
    <n v="7"/>
    <x v="34"/>
    <s v="Externo"/>
    <x v="2"/>
    <s v="Média"/>
    <s v="Erro"/>
  </r>
  <r>
    <n v="45"/>
    <n v="182"/>
    <n v="6"/>
    <x v="3"/>
    <s v="Interno"/>
    <x v="0"/>
    <s v="Baixa"/>
    <s v="Sucesso"/>
  </r>
  <r>
    <n v="46"/>
    <n v="188"/>
    <n v="8"/>
    <x v="7"/>
    <s v="Externo"/>
    <x v="1"/>
    <s v="Alta"/>
    <s v="Sucesso"/>
  </r>
  <r>
    <n v="47"/>
    <n v="192"/>
    <n v="9"/>
    <x v="6"/>
    <s v="Interno"/>
    <x v="3"/>
    <s v="Média"/>
    <s v="Erro"/>
  </r>
  <r>
    <n v="48"/>
    <n v="198"/>
    <n v="7"/>
    <x v="35"/>
    <s v="Externo"/>
    <x v="0"/>
    <s v="Baixa"/>
    <s v="Sucesso"/>
  </r>
  <r>
    <n v="49"/>
    <n v="205"/>
    <n v="10"/>
    <x v="13"/>
    <s v="Interno"/>
    <x v="1"/>
    <s v="Alta"/>
    <s v="Sucesso"/>
  </r>
  <r>
    <n v="50"/>
    <n v="215"/>
    <n v="11"/>
    <x v="36"/>
    <s v="Externo"/>
    <x v="2"/>
    <s v="Média"/>
    <s v="Erro"/>
  </r>
  <r>
    <n v="51"/>
    <n v="225"/>
    <n v="12"/>
    <x v="37"/>
    <s v="Interno"/>
    <x v="0"/>
    <s v="Baixa"/>
    <s v="Sucesso"/>
  </r>
  <r>
    <n v="52"/>
    <n v="235"/>
    <n v="13"/>
    <x v="38"/>
    <s v="Externo"/>
    <x v="1"/>
    <s v="Alta"/>
    <s v="Sucesso"/>
  </r>
  <r>
    <n v="53"/>
    <n v="245"/>
    <n v="11"/>
    <x v="39"/>
    <s v="Interno"/>
    <x v="3"/>
    <s v="Média"/>
    <s v="Erro"/>
  </r>
  <r>
    <n v="54"/>
    <n v="255"/>
    <n v="10"/>
    <x v="40"/>
    <s v="Externo"/>
    <x v="0"/>
    <s v="Baixa"/>
    <s v="Sucesso"/>
  </r>
  <r>
    <n v="55"/>
    <n v="265"/>
    <n v="12"/>
    <x v="41"/>
    <s v="Interno"/>
    <x v="1"/>
    <s v="Alta"/>
    <s v="Erro"/>
  </r>
  <r>
    <n v="56"/>
    <n v="275"/>
    <n v="13"/>
    <x v="42"/>
    <s v="Externo"/>
    <x v="2"/>
    <s v="Média"/>
    <s v="Sucesso"/>
  </r>
  <r>
    <n v="57"/>
    <n v="285"/>
    <n v="14"/>
    <x v="43"/>
    <s v="Interno"/>
    <x v="0"/>
    <s v="Baixa"/>
    <s v="Erro"/>
  </r>
  <r>
    <n v="58"/>
    <n v="295"/>
    <n v="13"/>
    <x v="44"/>
    <s v="Externo"/>
    <x v="1"/>
    <s v="Alta"/>
    <s v="Sucesso"/>
  </r>
  <r>
    <n v="59"/>
    <n v="305"/>
    <n v="15"/>
    <x v="45"/>
    <s v="Interno"/>
    <x v="3"/>
    <s v="Média"/>
    <s v="Erro"/>
  </r>
  <r>
    <n v="60"/>
    <n v="315"/>
    <n v="14"/>
    <x v="26"/>
    <s v="Externo"/>
    <x v="0"/>
    <s v="Baixa"/>
    <s v="Sucess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x v="0"/>
    <x v="0"/>
    <s v="Baixa"/>
    <s v="Sucesso"/>
  </r>
  <r>
    <n v="2"/>
    <n v="135"/>
    <n v="3"/>
    <n v="0.8"/>
    <x v="0"/>
    <x v="1"/>
    <s v="Média"/>
    <s v="Sucesso"/>
  </r>
  <r>
    <n v="3"/>
    <n v="150"/>
    <n v="6"/>
    <n v="1.5"/>
    <x v="1"/>
    <x v="2"/>
    <s v="Baixa"/>
    <s v="Sucesso"/>
  </r>
  <r>
    <n v="4"/>
    <n v="160"/>
    <n v="4"/>
    <n v="2"/>
    <x v="0"/>
    <x v="0"/>
    <s v="Alta"/>
    <s v="Sucesso"/>
  </r>
  <r>
    <n v="5"/>
    <n v="145"/>
    <n v="7"/>
    <n v="1.1000000000000001"/>
    <x v="1"/>
    <x v="1"/>
    <s v="Média"/>
    <s v="Sucesso"/>
  </r>
  <r>
    <n v="6"/>
    <n v="155"/>
    <n v="5"/>
    <n v="1.3"/>
    <x v="0"/>
    <x v="0"/>
    <s v="Baixa"/>
    <s v="Erro"/>
  </r>
  <r>
    <n v="7"/>
    <n v="170"/>
    <n v="8"/>
    <n v="2.5"/>
    <x v="1"/>
    <x v="3"/>
    <s v="Alta"/>
    <s v="Sucesso"/>
  </r>
  <r>
    <n v="8"/>
    <n v="180"/>
    <n v="6"/>
    <n v="2.2000000000000002"/>
    <x v="0"/>
    <x v="0"/>
    <s v="Média"/>
    <s v="Sucesso"/>
  </r>
  <r>
    <n v="9"/>
    <n v="175"/>
    <n v="7"/>
    <n v="1.8"/>
    <x v="1"/>
    <x v="1"/>
    <s v="Baixa"/>
    <s v="Sucesso"/>
  </r>
  <r>
    <n v="10"/>
    <n v="165"/>
    <n v="4"/>
    <n v="1"/>
    <x v="0"/>
    <x v="2"/>
    <s v="Alta"/>
    <s v="Erro"/>
  </r>
  <r>
    <n v="11"/>
    <n v="140"/>
    <n v="3"/>
    <n v="0.9"/>
    <x v="0"/>
    <x v="0"/>
    <s v="Média"/>
    <s v="Sucesso"/>
  </r>
  <r>
    <n v="12"/>
    <n v="130"/>
    <n v="2"/>
    <n v="0.7"/>
    <x v="0"/>
    <x v="1"/>
    <s v="Baixa"/>
    <s v="Sucesso"/>
  </r>
  <r>
    <n v="13"/>
    <n v="125"/>
    <n v="3"/>
    <n v="0.6"/>
    <x v="1"/>
    <x v="3"/>
    <s v="Baixa"/>
    <s v="Sucesso"/>
  </r>
  <r>
    <n v="14"/>
    <n v="200"/>
    <n v="9"/>
    <n v="3"/>
    <x v="0"/>
    <x v="0"/>
    <s v="Média"/>
    <s v="Sucesso"/>
  </r>
  <r>
    <n v="15"/>
    <n v="210"/>
    <n v="10"/>
    <n v="3.2"/>
    <x v="1"/>
    <x v="1"/>
    <s v="Baixa"/>
    <s v="Erro"/>
  </r>
  <r>
    <n v="16"/>
    <n v="190"/>
    <n v="8"/>
    <n v="2.8"/>
    <x v="0"/>
    <x v="2"/>
    <s v="Alta"/>
    <s v="Sucesso"/>
  </r>
  <r>
    <n v="17"/>
    <n v="185"/>
    <n v="7"/>
    <n v="2.4"/>
    <x v="1"/>
    <x v="0"/>
    <s v="Média"/>
    <s v="Sucesso"/>
  </r>
  <r>
    <n v="18"/>
    <n v="220"/>
    <n v="11"/>
    <n v="3.5"/>
    <x v="0"/>
    <x v="3"/>
    <s v="Baixa"/>
    <s v="Erro"/>
  </r>
  <r>
    <n v="19"/>
    <n v="230"/>
    <n v="12"/>
    <n v="3.8"/>
    <x v="1"/>
    <x v="0"/>
    <s v="Alta"/>
    <s v="Sucesso"/>
  </r>
  <r>
    <n v="20"/>
    <n v="240"/>
    <n v="10"/>
    <n v="4"/>
    <x v="0"/>
    <x v="1"/>
    <s v="Média"/>
    <s v="Sucesso"/>
  </r>
  <r>
    <n v="21"/>
    <n v="250"/>
    <n v="9"/>
    <n v="4.2"/>
    <x v="0"/>
    <x v="2"/>
    <s v="Baixa"/>
    <s v="Erro"/>
  </r>
  <r>
    <n v="22"/>
    <n v="260"/>
    <n v="11"/>
    <n v="4.5"/>
    <x v="0"/>
    <x v="0"/>
    <s v="Alta"/>
    <s v="Sucesso"/>
  </r>
  <r>
    <n v="23"/>
    <n v="270"/>
    <n v="12"/>
    <n v="4.8"/>
    <x v="1"/>
    <x v="1"/>
    <s v="Média"/>
    <s v="Sucesso"/>
  </r>
  <r>
    <n v="24"/>
    <n v="300"/>
    <n v="13"/>
    <n v="5"/>
    <x v="0"/>
    <x v="3"/>
    <s v="Baixa"/>
    <s v="Erro"/>
  </r>
  <r>
    <n v="25"/>
    <n v="310"/>
    <n v="14"/>
    <n v="5.5"/>
    <x v="1"/>
    <x v="0"/>
    <s v="Baixa"/>
    <s v="Sucesso"/>
  </r>
  <r>
    <n v="26"/>
    <n v="320"/>
    <n v="13"/>
    <n v="5.8"/>
    <x v="0"/>
    <x v="1"/>
    <s v="Média"/>
    <s v="Sucesso"/>
  </r>
  <r>
    <n v="27"/>
    <n v="330"/>
    <n v="15"/>
    <n v="6"/>
    <x v="1"/>
    <x v="2"/>
    <s v="Baixa"/>
    <s v="Erro"/>
  </r>
  <r>
    <n v="28"/>
    <n v="340"/>
    <n v="14"/>
    <n v="6.2"/>
    <x v="0"/>
    <x v="0"/>
    <s v="Alta"/>
    <s v="Sucesso"/>
  </r>
  <r>
    <n v="29"/>
    <n v="350"/>
    <n v="16"/>
    <n v="6.5"/>
    <x v="1"/>
    <x v="3"/>
    <s v="Média"/>
    <s v="Erro"/>
  </r>
  <r>
    <n v="30"/>
    <n v="400"/>
    <n v="18"/>
    <n v="7"/>
    <x v="0"/>
    <x v="0"/>
    <s v="Baixa"/>
    <s v="Erro"/>
  </r>
  <r>
    <n v="31"/>
    <n v="115"/>
    <n v="2"/>
    <n v="0.5"/>
    <x v="1"/>
    <x v="1"/>
    <s v="Baixa"/>
    <s v="Sucesso"/>
  </r>
  <r>
    <n v="32"/>
    <n v="118"/>
    <n v="3"/>
    <n v="0.6"/>
    <x v="0"/>
    <x v="2"/>
    <s v="Média"/>
    <s v="Sucesso"/>
  </r>
  <r>
    <n v="33"/>
    <n v="122"/>
    <n v="4"/>
    <n v="0.7"/>
    <x v="1"/>
    <x v="0"/>
    <s v="Baixa"/>
    <s v="Sucesso"/>
  </r>
  <r>
    <n v="34"/>
    <n v="128"/>
    <n v="2"/>
    <n v="0.8"/>
    <x v="0"/>
    <x v="1"/>
    <s v="Alta"/>
    <s v="Sucesso"/>
  </r>
  <r>
    <n v="35"/>
    <n v="132"/>
    <n v="3"/>
    <n v="0.9"/>
    <x v="1"/>
    <x v="3"/>
    <s v="Média"/>
    <s v="Sucesso"/>
  </r>
  <r>
    <n v="36"/>
    <n v="138"/>
    <n v="4"/>
    <n v="1"/>
    <x v="0"/>
    <x v="0"/>
    <s v="Baixa"/>
    <s v="Erro"/>
  </r>
  <r>
    <n v="37"/>
    <n v="142"/>
    <n v="5"/>
    <n v="1.1000000000000001"/>
    <x v="1"/>
    <x v="1"/>
    <s v="Baixa"/>
    <s v="Sucesso"/>
  </r>
  <r>
    <n v="38"/>
    <n v="148"/>
    <n v="6"/>
    <n v="1.2"/>
    <x v="0"/>
    <x v="2"/>
    <s v="Média"/>
    <s v="Sucesso"/>
  </r>
  <r>
    <n v="39"/>
    <n v="152"/>
    <n v="5"/>
    <n v="1.3"/>
    <x v="1"/>
    <x v="0"/>
    <s v="Baixa"/>
    <s v="Sucesso"/>
  </r>
  <r>
    <n v="40"/>
    <n v="158"/>
    <n v="4"/>
    <n v="1.4"/>
    <x v="0"/>
    <x v="1"/>
    <s v="Alta"/>
    <s v="Erro"/>
  </r>
  <r>
    <n v="41"/>
    <n v="162"/>
    <n v="6"/>
    <n v="1.6"/>
    <x v="1"/>
    <x v="3"/>
    <s v="Média"/>
    <s v="Sucesso"/>
  </r>
  <r>
    <n v="42"/>
    <n v="168"/>
    <n v="7"/>
    <n v="1.7"/>
    <x v="0"/>
    <x v="0"/>
    <s v="Baixa"/>
    <s v="Sucesso"/>
  </r>
  <r>
    <n v="43"/>
    <n v="172"/>
    <n v="8"/>
    <n v="1.8"/>
    <x v="1"/>
    <x v="1"/>
    <s v="Alta"/>
    <s v="Sucesso"/>
  </r>
  <r>
    <n v="44"/>
    <n v="178"/>
    <n v="7"/>
    <n v="1.9"/>
    <x v="0"/>
    <x v="2"/>
    <s v="Média"/>
    <s v="Erro"/>
  </r>
  <r>
    <n v="45"/>
    <n v="182"/>
    <n v="6"/>
    <n v="2"/>
    <x v="1"/>
    <x v="0"/>
    <s v="Baixa"/>
    <s v="Sucesso"/>
  </r>
  <r>
    <n v="46"/>
    <n v="188"/>
    <n v="8"/>
    <n v="2.2000000000000002"/>
    <x v="0"/>
    <x v="1"/>
    <s v="Alta"/>
    <s v="Sucesso"/>
  </r>
  <r>
    <n v="47"/>
    <n v="192"/>
    <n v="9"/>
    <n v="2.5"/>
    <x v="1"/>
    <x v="3"/>
    <s v="Média"/>
    <s v="Erro"/>
  </r>
  <r>
    <n v="48"/>
    <n v="198"/>
    <n v="7"/>
    <n v="2.7"/>
    <x v="0"/>
    <x v="0"/>
    <s v="Baixa"/>
    <s v="Sucesso"/>
  </r>
  <r>
    <n v="49"/>
    <n v="205"/>
    <n v="10"/>
    <n v="3"/>
    <x v="1"/>
    <x v="1"/>
    <s v="Alta"/>
    <s v="Sucesso"/>
  </r>
  <r>
    <n v="50"/>
    <n v="215"/>
    <n v="11"/>
    <n v="3.3"/>
    <x v="0"/>
    <x v="2"/>
    <s v="Média"/>
    <s v="Erro"/>
  </r>
  <r>
    <n v="51"/>
    <n v="225"/>
    <n v="12"/>
    <n v="3.6"/>
    <x v="1"/>
    <x v="0"/>
    <s v="Baixa"/>
    <s v="Sucesso"/>
  </r>
  <r>
    <n v="52"/>
    <n v="235"/>
    <n v="13"/>
    <n v="3.9"/>
    <x v="0"/>
    <x v="1"/>
    <s v="Alta"/>
    <s v="Sucesso"/>
  </r>
  <r>
    <n v="53"/>
    <n v="245"/>
    <n v="11"/>
    <n v="4.0999999999999996"/>
    <x v="1"/>
    <x v="3"/>
    <s v="Média"/>
    <s v="Erro"/>
  </r>
  <r>
    <n v="54"/>
    <n v="255"/>
    <n v="10"/>
    <n v="4.3"/>
    <x v="0"/>
    <x v="0"/>
    <s v="Baixa"/>
    <s v="Sucesso"/>
  </r>
  <r>
    <n v="55"/>
    <n v="265"/>
    <n v="12"/>
    <n v="4.5999999999999996"/>
    <x v="1"/>
    <x v="1"/>
    <s v="Alta"/>
    <s v="Erro"/>
  </r>
  <r>
    <n v="56"/>
    <n v="275"/>
    <n v="13"/>
    <n v="4.9000000000000004"/>
    <x v="0"/>
    <x v="2"/>
    <s v="Média"/>
    <s v="Sucesso"/>
  </r>
  <r>
    <n v="57"/>
    <n v="285"/>
    <n v="14"/>
    <n v="5.2"/>
    <x v="1"/>
    <x v="0"/>
    <s v="Baixa"/>
    <s v="Erro"/>
  </r>
  <r>
    <n v="58"/>
    <n v="295"/>
    <n v="13"/>
    <n v="5.4"/>
    <x v="0"/>
    <x v="1"/>
    <s v="Alta"/>
    <s v="Sucesso"/>
  </r>
  <r>
    <n v="59"/>
    <n v="305"/>
    <n v="15"/>
    <n v="5.7"/>
    <x v="1"/>
    <x v="3"/>
    <s v="Média"/>
    <s v="Erro"/>
  </r>
  <r>
    <n v="60"/>
    <n v="315"/>
    <n v="14"/>
    <n v="6"/>
    <x v="0"/>
    <x v="0"/>
    <s v="Baixa"/>
    <s v="Sucess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s v="Externo"/>
    <x v="0"/>
    <s v="Baixa"/>
    <s v="Sucesso"/>
  </r>
  <r>
    <n v="2"/>
    <n v="135"/>
    <n v="3"/>
    <n v="0.8"/>
    <s v="Externo"/>
    <x v="1"/>
    <s v="Média"/>
    <s v="Sucesso"/>
  </r>
  <r>
    <n v="3"/>
    <n v="150"/>
    <n v="6"/>
    <n v="1.5"/>
    <s v="Interno"/>
    <x v="2"/>
    <s v="Baixa"/>
    <s v="Sucesso"/>
  </r>
  <r>
    <n v="4"/>
    <n v="160"/>
    <n v="4"/>
    <n v="2"/>
    <s v="Externo"/>
    <x v="0"/>
    <s v="Alta"/>
    <s v="Sucesso"/>
  </r>
  <r>
    <n v="5"/>
    <n v="145"/>
    <n v="7"/>
    <n v="1.1000000000000001"/>
    <s v="Interno"/>
    <x v="1"/>
    <s v="Média"/>
    <s v="Sucesso"/>
  </r>
  <r>
    <n v="6"/>
    <n v="155"/>
    <n v="5"/>
    <n v="1.3"/>
    <s v="Externo"/>
    <x v="0"/>
    <s v="Baixa"/>
    <s v="Erro"/>
  </r>
  <r>
    <n v="7"/>
    <n v="170"/>
    <n v="8"/>
    <n v="2.5"/>
    <s v="Interno"/>
    <x v="3"/>
    <s v="Alta"/>
    <s v="Sucesso"/>
  </r>
  <r>
    <n v="8"/>
    <n v="180"/>
    <n v="6"/>
    <n v="2.2000000000000002"/>
    <s v="Externo"/>
    <x v="0"/>
    <s v="Média"/>
    <s v="Sucesso"/>
  </r>
  <r>
    <n v="9"/>
    <n v="175"/>
    <n v="7"/>
    <n v="1.8"/>
    <s v="Interno"/>
    <x v="1"/>
    <s v="Baixa"/>
    <s v="Sucesso"/>
  </r>
  <r>
    <n v="10"/>
    <n v="165"/>
    <n v="4"/>
    <n v="1"/>
    <s v="Externo"/>
    <x v="2"/>
    <s v="Alta"/>
    <s v="Erro"/>
  </r>
  <r>
    <n v="11"/>
    <n v="140"/>
    <n v="3"/>
    <n v="0.9"/>
    <s v="Externo"/>
    <x v="0"/>
    <s v="Média"/>
    <s v="Sucesso"/>
  </r>
  <r>
    <n v="12"/>
    <n v="130"/>
    <n v="2"/>
    <n v="0.7"/>
    <s v="Externo"/>
    <x v="1"/>
    <s v="Baixa"/>
    <s v="Sucesso"/>
  </r>
  <r>
    <n v="13"/>
    <n v="125"/>
    <n v="3"/>
    <n v="0.6"/>
    <s v="Interno"/>
    <x v="3"/>
    <s v="Baixa"/>
    <s v="Sucesso"/>
  </r>
  <r>
    <n v="14"/>
    <n v="200"/>
    <n v="9"/>
    <n v="3"/>
    <s v="Externo"/>
    <x v="0"/>
    <s v="Média"/>
    <s v="Sucesso"/>
  </r>
  <r>
    <n v="15"/>
    <n v="210"/>
    <n v="10"/>
    <n v="3.2"/>
    <s v="Interno"/>
    <x v="1"/>
    <s v="Baixa"/>
    <s v="Erro"/>
  </r>
  <r>
    <n v="16"/>
    <n v="190"/>
    <n v="8"/>
    <n v="2.8"/>
    <s v="Externo"/>
    <x v="2"/>
    <s v="Alta"/>
    <s v="Sucesso"/>
  </r>
  <r>
    <n v="17"/>
    <n v="185"/>
    <n v="7"/>
    <n v="2.4"/>
    <s v="Interno"/>
    <x v="0"/>
    <s v="Média"/>
    <s v="Sucesso"/>
  </r>
  <r>
    <n v="18"/>
    <n v="220"/>
    <n v="11"/>
    <n v="3.5"/>
    <s v="Externo"/>
    <x v="3"/>
    <s v="Baixa"/>
    <s v="Erro"/>
  </r>
  <r>
    <n v="19"/>
    <n v="230"/>
    <n v="12"/>
    <n v="3.8"/>
    <s v="Interno"/>
    <x v="0"/>
    <s v="Alta"/>
    <s v="Sucesso"/>
  </r>
  <r>
    <n v="20"/>
    <n v="240"/>
    <n v="10"/>
    <n v="4"/>
    <s v="Externo"/>
    <x v="1"/>
    <s v="Média"/>
    <s v="Sucesso"/>
  </r>
  <r>
    <n v="21"/>
    <n v="250"/>
    <n v="9"/>
    <n v="4.2"/>
    <s v="Externo"/>
    <x v="2"/>
    <s v="Baixa"/>
    <s v="Erro"/>
  </r>
  <r>
    <n v="22"/>
    <n v="260"/>
    <n v="11"/>
    <n v="4.5"/>
    <s v="Externo"/>
    <x v="0"/>
    <s v="Alta"/>
    <s v="Sucesso"/>
  </r>
  <r>
    <n v="23"/>
    <n v="270"/>
    <n v="12"/>
    <n v="4.8"/>
    <s v="Interno"/>
    <x v="1"/>
    <s v="Média"/>
    <s v="Sucesso"/>
  </r>
  <r>
    <n v="24"/>
    <n v="300"/>
    <n v="13"/>
    <n v="5"/>
    <s v="Externo"/>
    <x v="3"/>
    <s v="Baixa"/>
    <s v="Erro"/>
  </r>
  <r>
    <n v="25"/>
    <n v="310"/>
    <n v="14"/>
    <n v="5.5"/>
    <s v="Interno"/>
    <x v="0"/>
    <s v="Baixa"/>
    <s v="Sucesso"/>
  </r>
  <r>
    <n v="26"/>
    <n v="320"/>
    <n v="13"/>
    <n v="5.8"/>
    <s v="Externo"/>
    <x v="1"/>
    <s v="Média"/>
    <s v="Sucesso"/>
  </r>
  <r>
    <n v="27"/>
    <n v="330"/>
    <n v="15"/>
    <n v="6"/>
    <s v="Interno"/>
    <x v="2"/>
    <s v="Baixa"/>
    <s v="Erro"/>
  </r>
  <r>
    <n v="28"/>
    <n v="340"/>
    <n v="14"/>
    <n v="6.2"/>
    <s v="Externo"/>
    <x v="0"/>
    <s v="Alta"/>
    <s v="Sucesso"/>
  </r>
  <r>
    <n v="29"/>
    <n v="350"/>
    <n v="16"/>
    <n v="6.5"/>
    <s v="Interno"/>
    <x v="3"/>
    <s v="Média"/>
    <s v="Erro"/>
  </r>
  <r>
    <n v="30"/>
    <n v="400"/>
    <n v="18"/>
    <n v="7"/>
    <s v="Externo"/>
    <x v="0"/>
    <s v="Baixa"/>
    <s v="Erro"/>
  </r>
  <r>
    <n v="31"/>
    <n v="115"/>
    <n v="2"/>
    <n v="0.5"/>
    <s v="Interno"/>
    <x v="1"/>
    <s v="Baixa"/>
    <s v="Sucesso"/>
  </r>
  <r>
    <n v="32"/>
    <n v="118"/>
    <n v="3"/>
    <n v="0.6"/>
    <s v="Externo"/>
    <x v="2"/>
    <s v="Média"/>
    <s v="Sucesso"/>
  </r>
  <r>
    <n v="33"/>
    <n v="122"/>
    <n v="4"/>
    <n v="0.7"/>
    <s v="Interno"/>
    <x v="0"/>
    <s v="Baixa"/>
    <s v="Sucesso"/>
  </r>
  <r>
    <n v="34"/>
    <n v="128"/>
    <n v="2"/>
    <n v="0.8"/>
    <s v="Externo"/>
    <x v="1"/>
    <s v="Alta"/>
    <s v="Sucesso"/>
  </r>
  <r>
    <n v="35"/>
    <n v="132"/>
    <n v="3"/>
    <n v="0.9"/>
    <s v="Interno"/>
    <x v="3"/>
    <s v="Média"/>
    <s v="Sucesso"/>
  </r>
  <r>
    <n v="36"/>
    <n v="138"/>
    <n v="4"/>
    <n v="1"/>
    <s v="Externo"/>
    <x v="0"/>
    <s v="Baixa"/>
    <s v="Erro"/>
  </r>
  <r>
    <n v="37"/>
    <n v="142"/>
    <n v="5"/>
    <n v="1.1000000000000001"/>
    <s v="Interno"/>
    <x v="1"/>
    <s v="Baixa"/>
    <s v="Sucesso"/>
  </r>
  <r>
    <n v="38"/>
    <n v="148"/>
    <n v="6"/>
    <n v="1.2"/>
    <s v="Externo"/>
    <x v="2"/>
    <s v="Média"/>
    <s v="Sucesso"/>
  </r>
  <r>
    <n v="39"/>
    <n v="152"/>
    <n v="5"/>
    <n v="1.3"/>
    <s v="Interno"/>
    <x v="0"/>
    <s v="Baixa"/>
    <s v="Sucesso"/>
  </r>
  <r>
    <n v="40"/>
    <n v="158"/>
    <n v="4"/>
    <n v="1.4"/>
    <s v="Externo"/>
    <x v="1"/>
    <s v="Alta"/>
    <s v="Erro"/>
  </r>
  <r>
    <n v="41"/>
    <n v="162"/>
    <n v="6"/>
    <n v="1.6"/>
    <s v="Interno"/>
    <x v="3"/>
    <s v="Média"/>
    <s v="Sucesso"/>
  </r>
  <r>
    <n v="42"/>
    <n v="168"/>
    <n v="7"/>
    <n v="1.7"/>
    <s v="Externo"/>
    <x v="0"/>
    <s v="Baixa"/>
    <s v="Sucesso"/>
  </r>
  <r>
    <n v="43"/>
    <n v="172"/>
    <n v="8"/>
    <n v="1.8"/>
    <s v="Interno"/>
    <x v="1"/>
    <s v="Alta"/>
    <s v="Sucesso"/>
  </r>
  <r>
    <n v="44"/>
    <n v="178"/>
    <n v="7"/>
    <n v="1.9"/>
    <s v="Externo"/>
    <x v="2"/>
    <s v="Média"/>
    <s v="Erro"/>
  </r>
  <r>
    <n v="45"/>
    <n v="182"/>
    <n v="6"/>
    <n v="2"/>
    <s v="Interno"/>
    <x v="0"/>
    <s v="Baixa"/>
    <s v="Sucesso"/>
  </r>
  <r>
    <n v="46"/>
    <n v="188"/>
    <n v="8"/>
    <n v="2.2000000000000002"/>
    <s v="Externo"/>
    <x v="1"/>
    <s v="Alta"/>
    <s v="Sucesso"/>
  </r>
  <r>
    <n v="47"/>
    <n v="192"/>
    <n v="9"/>
    <n v="2.5"/>
    <s v="Interno"/>
    <x v="3"/>
    <s v="Média"/>
    <s v="Erro"/>
  </r>
  <r>
    <n v="48"/>
    <n v="198"/>
    <n v="7"/>
    <n v="2.7"/>
    <s v="Externo"/>
    <x v="0"/>
    <s v="Baixa"/>
    <s v="Sucesso"/>
  </r>
  <r>
    <n v="49"/>
    <n v="205"/>
    <n v="10"/>
    <n v="3"/>
    <s v="Interno"/>
    <x v="1"/>
    <s v="Alta"/>
    <s v="Sucesso"/>
  </r>
  <r>
    <n v="50"/>
    <n v="215"/>
    <n v="11"/>
    <n v="3.3"/>
    <s v="Externo"/>
    <x v="2"/>
    <s v="Média"/>
    <s v="Erro"/>
  </r>
  <r>
    <n v="51"/>
    <n v="225"/>
    <n v="12"/>
    <n v="3.6"/>
    <s v="Interno"/>
    <x v="0"/>
    <s v="Baixa"/>
    <s v="Sucesso"/>
  </r>
  <r>
    <n v="52"/>
    <n v="235"/>
    <n v="13"/>
    <n v="3.9"/>
    <s v="Externo"/>
    <x v="1"/>
    <s v="Alta"/>
    <s v="Sucesso"/>
  </r>
  <r>
    <n v="53"/>
    <n v="245"/>
    <n v="11"/>
    <n v="4.0999999999999996"/>
    <s v="Interno"/>
    <x v="3"/>
    <s v="Média"/>
    <s v="Erro"/>
  </r>
  <r>
    <n v="54"/>
    <n v="255"/>
    <n v="10"/>
    <n v="4.3"/>
    <s v="Externo"/>
    <x v="0"/>
    <s v="Baixa"/>
    <s v="Sucesso"/>
  </r>
  <r>
    <n v="55"/>
    <n v="265"/>
    <n v="12"/>
    <n v="4.5999999999999996"/>
    <s v="Interno"/>
    <x v="1"/>
    <s v="Alta"/>
    <s v="Erro"/>
  </r>
  <r>
    <n v="56"/>
    <n v="275"/>
    <n v="13"/>
    <n v="4.9000000000000004"/>
    <s v="Externo"/>
    <x v="2"/>
    <s v="Média"/>
    <s v="Sucesso"/>
  </r>
  <r>
    <n v="57"/>
    <n v="285"/>
    <n v="14"/>
    <n v="5.2"/>
    <s v="Interno"/>
    <x v="0"/>
    <s v="Baixa"/>
    <s v="Erro"/>
  </r>
  <r>
    <n v="58"/>
    <n v="295"/>
    <n v="13"/>
    <n v="5.4"/>
    <s v="Externo"/>
    <x v="1"/>
    <s v="Alta"/>
    <s v="Sucesso"/>
  </r>
  <r>
    <n v="59"/>
    <n v="305"/>
    <n v="15"/>
    <n v="5.7"/>
    <s v="Interno"/>
    <x v="3"/>
    <s v="Média"/>
    <s v="Erro"/>
  </r>
  <r>
    <n v="60"/>
    <n v="315"/>
    <n v="14"/>
    <n v="6"/>
    <s v="Externo"/>
    <x v="0"/>
    <s v="Baixa"/>
    <s v="Sucesso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s v="Externo"/>
    <x v="0"/>
    <x v="0"/>
    <s v="Sucesso"/>
  </r>
  <r>
    <n v="2"/>
    <n v="135"/>
    <n v="3"/>
    <n v="0.8"/>
    <s v="Externo"/>
    <x v="1"/>
    <x v="1"/>
    <s v="Sucesso"/>
  </r>
  <r>
    <n v="3"/>
    <n v="150"/>
    <n v="6"/>
    <n v="1.5"/>
    <s v="Interno"/>
    <x v="2"/>
    <x v="0"/>
    <s v="Sucesso"/>
  </r>
  <r>
    <n v="4"/>
    <n v="160"/>
    <n v="4"/>
    <n v="2"/>
    <s v="Externo"/>
    <x v="0"/>
    <x v="2"/>
    <s v="Sucesso"/>
  </r>
  <r>
    <n v="5"/>
    <n v="145"/>
    <n v="7"/>
    <n v="1.1000000000000001"/>
    <s v="Interno"/>
    <x v="1"/>
    <x v="1"/>
    <s v="Sucesso"/>
  </r>
  <r>
    <n v="6"/>
    <n v="155"/>
    <n v="5"/>
    <n v="1.3"/>
    <s v="Externo"/>
    <x v="0"/>
    <x v="0"/>
    <s v="Erro"/>
  </r>
  <r>
    <n v="7"/>
    <n v="170"/>
    <n v="8"/>
    <n v="2.5"/>
    <s v="Interno"/>
    <x v="3"/>
    <x v="2"/>
    <s v="Sucesso"/>
  </r>
  <r>
    <n v="8"/>
    <n v="180"/>
    <n v="6"/>
    <n v="2.2000000000000002"/>
    <s v="Externo"/>
    <x v="0"/>
    <x v="1"/>
    <s v="Sucesso"/>
  </r>
  <r>
    <n v="9"/>
    <n v="175"/>
    <n v="7"/>
    <n v="1.8"/>
    <s v="Interno"/>
    <x v="1"/>
    <x v="0"/>
    <s v="Sucesso"/>
  </r>
  <r>
    <n v="10"/>
    <n v="165"/>
    <n v="4"/>
    <n v="1"/>
    <s v="Externo"/>
    <x v="2"/>
    <x v="2"/>
    <s v="Erro"/>
  </r>
  <r>
    <n v="11"/>
    <n v="140"/>
    <n v="3"/>
    <n v="0.9"/>
    <s v="Externo"/>
    <x v="0"/>
    <x v="1"/>
    <s v="Sucesso"/>
  </r>
  <r>
    <n v="12"/>
    <n v="130"/>
    <n v="2"/>
    <n v="0.7"/>
    <s v="Externo"/>
    <x v="1"/>
    <x v="0"/>
    <s v="Sucesso"/>
  </r>
  <r>
    <n v="13"/>
    <n v="125"/>
    <n v="3"/>
    <n v="0.6"/>
    <s v="Interno"/>
    <x v="3"/>
    <x v="0"/>
    <s v="Sucesso"/>
  </r>
  <r>
    <n v="14"/>
    <n v="200"/>
    <n v="9"/>
    <n v="3"/>
    <s v="Externo"/>
    <x v="0"/>
    <x v="1"/>
    <s v="Sucesso"/>
  </r>
  <r>
    <n v="15"/>
    <n v="210"/>
    <n v="10"/>
    <n v="3.2"/>
    <s v="Interno"/>
    <x v="1"/>
    <x v="0"/>
    <s v="Erro"/>
  </r>
  <r>
    <n v="16"/>
    <n v="190"/>
    <n v="8"/>
    <n v="2.8"/>
    <s v="Externo"/>
    <x v="2"/>
    <x v="2"/>
    <s v="Sucesso"/>
  </r>
  <r>
    <n v="17"/>
    <n v="185"/>
    <n v="7"/>
    <n v="2.4"/>
    <s v="Interno"/>
    <x v="0"/>
    <x v="1"/>
    <s v="Sucesso"/>
  </r>
  <r>
    <n v="18"/>
    <n v="220"/>
    <n v="11"/>
    <n v="3.5"/>
    <s v="Externo"/>
    <x v="3"/>
    <x v="0"/>
    <s v="Erro"/>
  </r>
  <r>
    <n v="19"/>
    <n v="230"/>
    <n v="12"/>
    <n v="3.8"/>
    <s v="Interno"/>
    <x v="0"/>
    <x v="2"/>
    <s v="Sucesso"/>
  </r>
  <r>
    <n v="20"/>
    <n v="240"/>
    <n v="10"/>
    <n v="4"/>
    <s v="Externo"/>
    <x v="1"/>
    <x v="1"/>
    <s v="Sucesso"/>
  </r>
  <r>
    <n v="21"/>
    <n v="250"/>
    <n v="9"/>
    <n v="4.2"/>
    <s v="Externo"/>
    <x v="2"/>
    <x v="0"/>
    <s v="Erro"/>
  </r>
  <r>
    <n v="22"/>
    <n v="260"/>
    <n v="11"/>
    <n v="4.5"/>
    <s v="Externo"/>
    <x v="0"/>
    <x v="2"/>
    <s v="Sucesso"/>
  </r>
  <r>
    <n v="23"/>
    <n v="270"/>
    <n v="12"/>
    <n v="4.8"/>
    <s v="Interno"/>
    <x v="1"/>
    <x v="1"/>
    <s v="Sucesso"/>
  </r>
  <r>
    <n v="24"/>
    <n v="300"/>
    <n v="13"/>
    <n v="5"/>
    <s v="Externo"/>
    <x v="3"/>
    <x v="0"/>
    <s v="Erro"/>
  </r>
  <r>
    <n v="25"/>
    <n v="310"/>
    <n v="14"/>
    <n v="5.5"/>
    <s v="Interno"/>
    <x v="0"/>
    <x v="0"/>
    <s v="Sucesso"/>
  </r>
  <r>
    <n v="26"/>
    <n v="320"/>
    <n v="13"/>
    <n v="5.8"/>
    <s v="Externo"/>
    <x v="1"/>
    <x v="1"/>
    <s v="Sucesso"/>
  </r>
  <r>
    <n v="27"/>
    <n v="330"/>
    <n v="15"/>
    <n v="6"/>
    <s v="Interno"/>
    <x v="2"/>
    <x v="0"/>
    <s v="Erro"/>
  </r>
  <r>
    <n v="28"/>
    <n v="340"/>
    <n v="14"/>
    <n v="6.2"/>
    <s v="Externo"/>
    <x v="0"/>
    <x v="2"/>
    <s v="Sucesso"/>
  </r>
  <r>
    <n v="29"/>
    <n v="350"/>
    <n v="16"/>
    <n v="6.5"/>
    <s v="Interno"/>
    <x v="3"/>
    <x v="1"/>
    <s v="Erro"/>
  </r>
  <r>
    <n v="30"/>
    <n v="400"/>
    <n v="18"/>
    <n v="7"/>
    <s v="Externo"/>
    <x v="0"/>
    <x v="0"/>
    <s v="Erro"/>
  </r>
  <r>
    <n v="31"/>
    <n v="115"/>
    <n v="2"/>
    <n v="0.5"/>
    <s v="Interno"/>
    <x v="1"/>
    <x v="0"/>
    <s v="Sucesso"/>
  </r>
  <r>
    <n v="32"/>
    <n v="118"/>
    <n v="3"/>
    <n v="0.6"/>
    <s v="Externo"/>
    <x v="2"/>
    <x v="1"/>
    <s v="Sucesso"/>
  </r>
  <r>
    <n v="33"/>
    <n v="122"/>
    <n v="4"/>
    <n v="0.7"/>
    <s v="Interno"/>
    <x v="0"/>
    <x v="0"/>
    <s v="Sucesso"/>
  </r>
  <r>
    <n v="34"/>
    <n v="128"/>
    <n v="2"/>
    <n v="0.8"/>
    <s v="Externo"/>
    <x v="1"/>
    <x v="2"/>
    <s v="Sucesso"/>
  </r>
  <r>
    <n v="35"/>
    <n v="132"/>
    <n v="3"/>
    <n v="0.9"/>
    <s v="Interno"/>
    <x v="3"/>
    <x v="1"/>
    <s v="Sucesso"/>
  </r>
  <r>
    <n v="36"/>
    <n v="138"/>
    <n v="4"/>
    <n v="1"/>
    <s v="Externo"/>
    <x v="0"/>
    <x v="0"/>
    <s v="Erro"/>
  </r>
  <r>
    <n v="37"/>
    <n v="142"/>
    <n v="5"/>
    <n v="1.1000000000000001"/>
    <s v="Interno"/>
    <x v="1"/>
    <x v="0"/>
    <s v="Sucesso"/>
  </r>
  <r>
    <n v="38"/>
    <n v="148"/>
    <n v="6"/>
    <n v="1.2"/>
    <s v="Externo"/>
    <x v="2"/>
    <x v="1"/>
    <s v="Sucesso"/>
  </r>
  <r>
    <n v="39"/>
    <n v="152"/>
    <n v="5"/>
    <n v="1.3"/>
    <s v="Interno"/>
    <x v="0"/>
    <x v="0"/>
    <s v="Sucesso"/>
  </r>
  <r>
    <n v="40"/>
    <n v="158"/>
    <n v="4"/>
    <n v="1.4"/>
    <s v="Externo"/>
    <x v="1"/>
    <x v="2"/>
    <s v="Erro"/>
  </r>
  <r>
    <n v="41"/>
    <n v="162"/>
    <n v="6"/>
    <n v="1.6"/>
    <s v="Interno"/>
    <x v="3"/>
    <x v="1"/>
    <s v="Sucesso"/>
  </r>
  <r>
    <n v="42"/>
    <n v="168"/>
    <n v="7"/>
    <n v="1.7"/>
    <s v="Externo"/>
    <x v="0"/>
    <x v="0"/>
    <s v="Sucesso"/>
  </r>
  <r>
    <n v="43"/>
    <n v="172"/>
    <n v="8"/>
    <n v="1.8"/>
    <s v="Interno"/>
    <x v="1"/>
    <x v="2"/>
    <s v="Sucesso"/>
  </r>
  <r>
    <n v="44"/>
    <n v="178"/>
    <n v="7"/>
    <n v="1.9"/>
    <s v="Externo"/>
    <x v="2"/>
    <x v="1"/>
    <s v="Erro"/>
  </r>
  <r>
    <n v="45"/>
    <n v="182"/>
    <n v="6"/>
    <n v="2"/>
    <s v="Interno"/>
    <x v="0"/>
    <x v="0"/>
    <s v="Sucesso"/>
  </r>
  <r>
    <n v="46"/>
    <n v="188"/>
    <n v="8"/>
    <n v="2.2000000000000002"/>
    <s v="Externo"/>
    <x v="1"/>
    <x v="2"/>
    <s v="Sucesso"/>
  </r>
  <r>
    <n v="47"/>
    <n v="192"/>
    <n v="9"/>
    <n v="2.5"/>
    <s v="Interno"/>
    <x v="3"/>
    <x v="1"/>
    <s v="Erro"/>
  </r>
  <r>
    <n v="48"/>
    <n v="198"/>
    <n v="7"/>
    <n v="2.7"/>
    <s v="Externo"/>
    <x v="0"/>
    <x v="0"/>
    <s v="Sucesso"/>
  </r>
  <r>
    <n v="49"/>
    <n v="205"/>
    <n v="10"/>
    <n v="3"/>
    <s v="Interno"/>
    <x v="1"/>
    <x v="2"/>
    <s v="Sucesso"/>
  </r>
  <r>
    <n v="50"/>
    <n v="215"/>
    <n v="11"/>
    <n v="3.3"/>
    <s v="Externo"/>
    <x v="2"/>
    <x v="1"/>
    <s v="Erro"/>
  </r>
  <r>
    <n v="51"/>
    <n v="225"/>
    <n v="12"/>
    <n v="3.6"/>
    <s v="Interno"/>
    <x v="0"/>
    <x v="0"/>
    <s v="Sucesso"/>
  </r>
  <r>
    <n v="52"/>
    <n v="235"/>
    <n v="13"/>
    <n v="3.9"/>
    <s v="Externo"/>
    <x v="1"/>
    <x v="2"/>
    <s v="Sucesso"/>
  </r>
  <r>
    <n v="53"/>
    <n v="245"/>
    <n v="11"/>
    <n v="4.0999999999999996"/>
    <s v="Interno"/>
    <x v="3"/>
    <x v="1"/>
    <s v="Erro"/>
  </r>
  <r>
    <n v="54"/>
    <n v="255"/>
    <n v="10"/>
    <n v="4.3"/>
    <s v="Externo"/>
    <x v="0"/>
    <x v="0"/>
    <s v="Sucesso"/>
  </r>
  <r>
    <n v="55"/>
    <n v="265"/>
    <n v="12"/>
    <n v="4.5999999999999996"/>
    <s v="Interno"/>
    <x v="1"/>
    <x v="2"/>
    <s v="Erro"/>
  </r>
  <r>
    <n v="56"/>
    <n v="275"/>
    <n v="13"/>
    <n v="4.9000000000000004"/>
    <s v="Externo"/>
    <x v="2"/>
    <x v="1"/>
    <s v="Sucesso"/>
  </r>
  <r>
    <n v="57"/>
    <n v="285"/>
    <n v="14"/>
    <n v="5.2"/>
    <s v="Interno"/>
    <x v="0"/>
    <x v="0"/>
    <s v="Erro"/>
  </r>
  <r>
    <n v="58"/>
    <n v="295"/>
    <n v="13"/>
    <n v="5.4"/>
    <s v="Externo"/>
    <x v="1"/>
    <x v="2"/>
    <s v="Sucesso"/>
  </r>
  <r>
    <n v="59"/>
    <n v="305"/>
    <n v="15"/>
    <n v="5.7"/>
    <s v="Interno"/>
    <x v="3"/>
    <x v="1"/>
    <s v="Erro"/>
  </r>
  <r>
    <n v="60"/>
    <n v="315"/>
    <n v="14"/>
    <n v="6"/>
    <s v="Externo"/>
    <x v="0"/>
    <x v="0"/>
    <s v="Sucesso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s v="Externo"/>
    <x v="0"/>
    <s v="Baixa"/>
    <x v="0"/>
  </r>
  <r>
    <n v="2"/>
    <n v="135"/>
    <n v="3"/>
    <n v="0.8"/>
    <s v="Externo"/>
    <x v="1"/>
    <s v="Média"/>
    <x v="0"/>
  </r>
  <r>
    <n v="3"/>
    <n v="150"/>
    <n v="6"/>
    <n v="1.5"/>
    <s v="Interno"/>
    <x v="2"/>
    <s v="Baixa"/>
    <x v="0"/>
  </r>
  <r>
    <n v="4"/>
    <n v="160"/>
    <n v="4"/>
    <n v="2"/>
    <s v="Externo"/>
    <x v="0"/>
    <s v="Alta"/>
    <x v="0"/>
  </r>
  <r>
    <n v="5"/>
    <n v="145"/>
    <n v="7"/>
    <n v="1.1000000000000001"/>
    <s v="Interno"/>
    <x v="1"/>
    <s v="Média"/>
    <x v="0"/>
  </r>
  <r>
    <n v="6"/>
    <n v="155"/>
    <n v="5"/>
    <n v="1.3"/>
    <s v="Externo"/>
    <x v="0"/>
    <s v="Baixa"/>
    <x v="1"/>
  </r>
  <r>
    <n v="7"/>
    <n v="170"/>
    <n v="8"/>
    <n v="2.5"/>
    <s v="Interno"/>
    <x v="3"/>
    <s v="Alta"/>
    <x v="0"/>
  </r>
  <r>
    <n v="8"/>
    <n v="180"/>
    <n v="6"/>
    <n v="2.2000000000000002"/>
    <s v="Externo"/>
    <x v="0"/>
    <s v="Média"/>
    <x v="0"/>
  </r>
  <r>
    <n v="9"/>
    <n v="175"/>
    <n v="7"/>
    <n v="1.8"/>
    <s v="Interno"/>
    <x v="1"/>
    <s v="Baixa"/>
    <x v="0"/>
  </r>
  <r>
    <n v="10"/>
    <n v="165"/>
    <n v="4"/>
    <n v="1"/>
    <s v="Externo"/>
    <x v="2"/>
    <s v="Alta"/>
    <x v="1"/>
  </r>
  <r>
    <n v="11"/>
    <n v="140"/>
    <n v="3"/>
    <n v="0.9"/>
    <s v="Externo"/>
    <x v="0"/>
    <s v="Média"/>
    <x v="0"/>
  </r>
  <r>
    <n v="12"/>
    <n v="130"/>
    <n v="2"/>
    <n v="0.7"/>
    <s v="Externo"/>
    <x v="1"/>
    <s v="Baixa"/>
    <x v="0"/>
  </r>
  <r>
    <n v="13"/>
    <n v="125"/>
    <n v="3"/>
    <n v="0.6"/>
    <s v="Interno"/>
    <x v="3"/>
    <s v="Baixa"/>
    <x v="0"/>
  </r>
  <r>
    <n v="14"/>
    <n v="200"/>
    <n v="9"/>
    <n v="3"/>
    <s v="Externo"/>
    <x v="0"/>
    <s v="Média"/>
    <x v="0"/>
  </r>
  <r>
    <n v="15"/>
    <n v="210"/>
    <n v="10"/>
    <n v="3.2"/>
    <s v="Interno"/>
    <x v="1"/>
    <s v="Baixa"/>
    <x v="1"/>
  </r>
  <r>
    <n v="16"/>
    <n v="190"/>
    <n v="8"/>
    <n v="2.8"/>
    <s v="Externo"/>
    <x v="2"/>
    <s v="Alta"/>
    <x v="0"/>
  </r>
  <r>
    <n v="17"/>
    <n v="185"/>
    <n v="7"/>
    <n v="2.4"/>
    <s v="Interno"/>
    <x v="0"/>
    <s v="Média"/>
    <x v="0"/>
  </r>
  <r>
    <n v="18"/>
    <n v="220"/>
    <n v="11"/>
    <n v="3.5"/>
    <s v="Externo"/>
    <x v="3"/>
    <s v="Baixa"/>
    <x v="1"/>
  </r>
  <r>
    <n v="19"/>
    <n v="230"/>
    <n v="12"/>
    <n v="3.8"/>
    <s v="Interno"/>
    <x v="0"/>
    <s v="Alta"/>
    <x v="0"/>
  </r>
  <r>
    <n v="20"/>
    <n v="240"/>
    <n v="10"/>
    <n v="4"/>
    <s v="Externo"/>
    <x v="1"/>
    <s v="Média"/>
    <x v="0"/>
  </r>
  <r>
    <n v="21"/>
    <n v="250"/>
    <n v="9"/>
    <n v="4.2"/>
    <s v="Externo"/>
    <x v="2"/>
    <s v="Baixa"/>
    <x v="1"/>
  </r>
  <r>
    <n v="22"/>
    <n v="260"/>
    <n v="11"/>
    <n v="4.5"/>
    <s v="Externo"/>
    <x v="0"/>
    <s v="Alta"/>
    <x v="0"/>
  </r>
  <r>
    <n v="23"/>
    <n v="270"/>
    <n v="12"/>
    <n v="4.8"/>
    <s v="Interno"/>
    <x v="1"/>
    <s v="Média"/>
    <x v="0"/>
  </r>
  <r>
    <n v="24"/>
    <n v="300"/>
    <n v="13"/>
    <n v="5"/>
    <s v="Externo"/>
    <x v="3"/>
    <s v="Baixa"/>
    <x v="1"/>
  </r>
  <r>
    <n v="25"/>
    <n v="310"/>
    <n v="14"/>
    <n v="5.5"/>
    <s v="Interno"/>
    <x v="0"/>
    <s v="Baixa"/>
    <x v="0"/>
  </r>
  <r>
    <n v="26"/>
    <n v="320"/>
    <n v="13"/>
    <n v="5.8"/>
    <s v="Externo"/>
    <x v="1"/>
    <s v="Média"/>
    <x v="0"/>
  </r>
  <r>
    <n v="27"/>
    <n v="330"/>
    <n v="15"/>
    <n v="6"/>
    <s v="Interno"/>
    <x v="2"/>
    <s v="Baixa"/>
    <x v="1"/>
  </r>
  <r>
    <n v="28"/>
    <n v="340"/>
    <n v="14"/>
    <n v="6.2"/>
    <s v="Externo"/>
    <x v="0"/>
    <s v="Alta"/>
    <x v="0"/>
  </r>
  <r>
    <n v="29"/>
    <n v="350"/>
    <n v="16"/>
    <n v="6.5"/>
    <s v="Interno"/>
    <x v="3"/>
    <s v="Média"/>
    <x v="1"/>
  </r>
  <r>
    <n v="30"/>
    <n v="400"/>
    <n v="18"/>
    <n v="7"/>
    <s v="Externo"/>
    <x v="0"/>
    <s v="Baixa"/>
    <x v="1"/>
  </r>
  <r>
    <n v="31"/>
    <n v="115"/>
    <n v="2"/>
    <n v="0.5"/>
    <s v="Interno"/>
    <x v="1"/>
    <s v="Baixa"/>
    <x v="0"/>
  </r>
  <r>
    <n v="32"/>
    <n v="118"/>
    <n v="3"/>
    <n v="0.6"/>
    <s v="Externo"/>
    <x v="2"/>
    <s v="Média"/>
    <x v="0"/>
  </r>
  <r>
    <n v="33"/>
    <n v="122"/>
    <n v="4"/>
    <n v="0.7"/>
    <s v="Interno"/>
    <x v="0"/>
    <s v="Baixa"/>
    <x v="0"/>
  </r>
  <r>
    <n v="34"/>
    <n v="128"/>
    <n v="2"/>
    <n v="0.8"/>
    <s v="Externo"/>
    <x v="1"/>
    <s v="Alta"/>
    <x v="0"/>
  </r>
  <r>
    <n v="35"/>
    <n v="132"/>
    <n v="3"/>
    <n v="0.9"/>
    <s v="Interno"/>
    <x v="3"/>
    <s v="Média"/>
    <x v="0"/>
  </r>
  <r>
    <n v="36"/>
    <n v="138"/>
    <n v="4"/>
    <n v="1"/>
    <s v="Externo"/>
    <x v="0"/>
    <s v="Baixa"/>
    <x v="1"/>
  </r>
  <r>
    <n v="37"/>
    <n v="142"/>
    <n v="5"/>
    <n v="1.1000000000000001"/>
    <s v="Interno"/>
    <x v="1"/>
    <s v="Baixa"/>
    <x v="0"/>
  </r>
  <r>
    <n v="38"/>
    <n v="148"/>
    <n v="6"/>
    <n v="1.2"/>
    <s v="Externo"/>
    <x v="2"/>
    <s v="Média"/>
    <x v="0"/>
  </r>
  <r>
    <n v="39"/>
    <n v="152"/>
    <n v="5"/>
    <n v="1.3"/>
    <s v="Interno"/>
    <x v="0"/>
    <s v="Baixa"/>
    <x v="0"/>
  </r>
  <r>
    <n v="40"/>
    <n v="158"/>
    <n v="4"/>
    <n v="1.4"/>
    <s v="Externo"/>
    <x v="1"/>
    <s v="Alta"/>
    <x v="1"/>
  </r>
  <r>
    <n v="41"/>
    <n v="162"/>
    <n v="6"/>
    <n v="1.6"/>
    <s v="Interno"/>
    <x v="3"/>
    <s v="Média"/>
    <x v="0"/>
  </r>
  <r>
    <n v="42"/>
    <n v="168"/>
    <n v="7"/>
    <n v="1.7"/>
    <s v="Externo"/>
    <x v="0"/>
    <s v="Baixa"/>
    <x v="0"/>
  </r>
  <r>
    <n v="43"/>
    <n v="172"/>
    <n v="8"/>
    <n v="1.8"/>
    <s v="Interno"/>
    <x v="1"/>
    <s v="Alta"/>
    <x v="0"/>
  </r>
  <r>
    <n v="44"/>
    <n v="178"/>
    <n v="7"/>
    <n v="1.9"/>
    <s v="Externo"/>
    <x v="2"/>
    <s v="Média"/>
    <x v="1"/>
  </r>
  <r>
    <n v="45"/>
    <n v="182"/>
    <n v="6"/>
    <n v="2"/>
    <s v="Interno"/>
    <x v="0"/>
    <s v="Baixa"/>
    <x v="0"/>
  </r>
  <r>
    <n v="46"/>
    <n v="188"/>
    <n v="8"/>
    <n v="2.2000000000000002"/>
    <s v="Externo"/>
    <x v="1"/>
    <s v="Alta"/>
    <x v="0"/>
  </r>
  <r>
    <n v="47"/>
    <n v="192"/>
    <n v="9"/>
    <n v="2.5"/>
    <s v="Interno"/>
    <x v="3"/>
    <s v="Média"/>
    <x v="1"/>
  </r>
  <r>
    <n v="48"/>
    <n v="198"/>
    <n v="7"/>
    <n v="2.7"/>
    <s v="Externo"/>
    <x v="0"/>
    <s v="Baixa"/>
    <x v="0"/>
  </r>
  <r>
    <n v="49"/>
    <n v="205"/>
    <n v="10"/>
    <n v="3"/>
    <s v="Interno"/>
    <x v="1"/>
    <s v="Alta"/>
    <x v="0"/>
  </r>
  <r>
    <n v="50"/>
    <n v="215"/>
    <n v="11"/>
    <n v="3.3"/>
    <s v="Externo"/>
    <x v="2"/>
    <s v="Média"/>
    <x v="1"/>
  </r>
  <r>
    <n v="51"/>
    <n v="225"/>
    <n v="12"/>
    <n v="3.6"/>
    <s v="Interno"/>
    <x v="0"/>
    <s v="Baixa"/>
    <x v="0"/>
  </r>
  <r>
    <n v="52"/>
    <n v="235"/>
    <n v="13"/>
    <n v="3.9"/>
    <s v="Externo"/>
    <x v="1"/>
    <s v="Alta"/>
    <x v="0"/>
  </r>
  <r>
    <n v="53"/>
    <n v="245"/>
    <n v="11"/>
    <n v="4.0999999999999996"/>
    <s v="Interno"/>
    <x v="3"/>
    <s v="Média"/>
    <x v="1"/>
  </r>
  <r>
    <n v="54"/>
    <n v="255"/>
    <n v="10"/>
    <n v="4.3"/>
    <s v="Externo"/>
    <x v="0"/>
    <s v="Baixa"/>
    <x v="0"/>
  </r>
  <r>
    <n v="55"/>
    <n v="265"/>
    <n v="12"/>
    <n v="4.5999999999999996"/>
    <s v="Interno"/>
    <x v="1"/>
    <s v="Alta"/>
    <x v="1"/>
  </r>
  <r>
    <n v="56"/>
    <n v="275"/>
    <n v="13"/>
    <n v="4.9000000000000004"/>
    <s v="Externo"/>
    <x v="2"/>
    <s v="Média"/>
    <x v="0"/>
  </r>
  <r>
    <n v="57"/>
    <n v="285"/>
    <n v="14"/>
    <n v="5.2"/>
    <s v="Interno"/>
    <x v="0"/>
    <s v="Baixa"/>
    <x v="1"/>
  </r>
  <r>
    <n v="58"/>
    <n v="295"/>
    <n v="13"/>
    <n v="5.4"/>
    <s v="Externo"/>
    <x v="1"/>
    <s v="Alta"/>
    <x v="0"/>
  </r>
  <r>
    <n v="59"/>
    <n v="305"/>
    <n v="15"/>
    <n v="5.7"/>
    <s v="Interno"/>
    <x v="3"/>
    <s v="Média"/>
    <x v="1"/>
  </r>
  <r>
    <n v="60"/>
    <n v="315"/>
    <n v="14"/>
    <n v="6"/>
    <s v="Externo"/>
    <x v="0"/>
    <s v="Baixa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s v="Externo"/>
    <x v="0"/>
    <s v="Baixa"/>
    <x v="0"/>
  </r>
  <r>
    <n v="2"/>
    <n v="135"/>
    <n v="3"/>
    <n v="0.8"/>
    <s v="Externo"/>
    <x v="1"/>
    <s v="Média"/>
    <x v="0"/>
  </r>
  <r>
    <n v="3"/>
    <n v="150"/>
    <n v="6"/>
    <n v="1.5"/>
    <s v="Interno"/>
    <x v="2"/>
    <s v="Baixa"/>
    <x v="0"/>
  </r>
  <r>
    <n v="4"/>
    <n v="160"/>
    <n v="4"/>
    <n v="2"/>
    <s v="Externo"/>
    <x v="0"/>
    <s v="Alta"/>
    <x v="0"/>
  </r>
  <r>
    <n v="5"/>
    <n v="145"/>
    <n v="7"/>
    <n v="1.1000000000000001"/>
    <s v="Interno"/>
    <x v="1"/>
    <s v="Média"/>
    <x v="0"/>
  </r>
  <r>
    <n v="6"/>
    <n v="155"/>
    <n v="5"/>
    <n v="1.3"/>
    <s v="Externo"/>
    <x v="0"/>
    <s v="Baixa"/>
    <x v="1"/>
  </r>
  <r>
    <n v="7"/>
    <n v="170"/>
    <n v="8"/>
    <n v="2.5"/>
    <s v="Interno"/>
    <x v="3"/>
    <s v="Alta"/>
    <x v="0"/>
  </r>
  <r>
    <n v="8"/>
    <n v="180"/>
    <n v="6"/>
    <n v="2.2000000000000002"/>
    <s v="Externo"/>
    <x v="0"/>
    <s v="Média"/>
    <x v="0"/>
  </r>
  <r>
    <n v="9"/>
    <n v="175"/>
    <n v="7"/>
    <n v="1.8"/>
    <s v="Interno"/>
    <x v="1"/>
    <s v="Baixa"/>
    <x v="0"/>
  </r>
  <r>
    <n v="10"/>
    <n v="165"/>
    <n v="4"/>
    <n v="1"/>
    <s v="Externo"/>
    <x v="2"/>
    <s v="Alta"/>
    <x v="1"/>
  </r>
  <r>
    <n v="11"/>
    <n v="140"/>
    <n v="3"/>
    <n v="0.9"/>
    <s v="Externo"/>
    <x v="0"/>
    <s v="Média"/>
    <x v="0"/>
  </r>
  <r>
    <n v="12"/>
    <n v="130"/>
    <n v="2"/>
    <n v="0.7"/>
    <s v="Externo"/>
    <x v="1"/>
    <s v="Baixa"/>
    <x v="0"/>
  </r>
  <r>
    <n v="13"/>
    <n v="125"/>
    <n v="3"/>
    <n v="0.6"/>
    <s v="Interno"/>
    <x v="3"/>
    <s v="Baixa"/>
    <x v="0"/>
  </r>
  <r>
    <n v="14"/>
    <n v="200"/>
    <n v="9"/>
    <n v="3"/>
    <s v="Externo"/>
    <x v="0"/>
    <s v="Média"/>
    <x v="0"/>
  </r>
  <r>
    <n v="15"/>
    <n v="210"/>
    <n v="10"/>
    <n v="3.2"/>
    <s v="Interno"/>
    <x v="1"/>
    <s v="Baixa"/>
    <x v="1"/>
  </r>
  <r>
    <n v="16"/>
    <n v="190"/>
    <n v="8"/>
    <n v="2.8"/>
    <s v="Externo"/>
    <x v="2"/>
    <s v="Alta"/>
    <x v="0"/>
  </r>
  <r>
    <n v="17"/>
    <n v="185"/>
    <n v="7"/>
    <n v="2.4"/>
    <s v="Interno"/>
    <x v="0"/>
    <s v="Média"/>
    <x v="0"/>
  </r>
  <r>
    <n v="18"/>
    <n v="220"/>
    <n v="11"/>
    <n v="3.5"/>
    <s v="Externo"/>
    <x v="3"/>
    <s v="Baixa"/>
    <x v="1"/>
  </r>
  <r>
    <n v="19"/>
    <n v="230"/>
    <n v="12"/>
    <n v="3.8"/>
    <s v="Interno"/>
    <x v="0"/>
    <s v="Alta"/>
    <x v="0"/>
  </r>
  <r>
    <n v="20"/>
    <n v="240"/>
    <n v="10"/>
    <n v="4"/>
    <s v="Externo"/>
    <x v="1"/>
    <s v="Média"/>
    <x v="0"/>
  </r>
  <r>
    <n v="21"/>
    <n v="250"/>
    <n v="9"/>
    <n v="4.2"/>
    <s v="Externo"/>
    <x v="2"/>
    <s v="Baixa"/>
    <x v="1"/>
  </r>
  <r>
    <n v="22"/>
    <n v="260"/>
    <n v="11"/>
    <n v="4.5"/>
    <s v="Externo"/>
    <x v="0"/>
    <s v="Alta"/>
    <x v="0"/>
  </r>
  <r>
    <n v="23"/>
    <n v="270"/>
    <n v="12"/>
    <n v="4.8"/>
    <s v="Interno"/>
    <x v="1"/>
    <s v="Média"/>
    <x v="0"/>
  </r>
  <r>
    <n v="24"/>
    <n v="300"/>
    <n v="13"/>
    <n v="5"/>
    <s v="Externo"/>
    <x v="3"/>
    <s v="Baixa"/>
    <x v="1"/>
  </r>
  <r>
    <n v="25"/>
    <n v="310"/>
    <n v="14"/>
    <n v="5.5"/>
    <s v="Interno"/>
    <x v="0"/>
    <s v="Baixa"/>
    <x v="0"/>
  </r>
  <r>
    <n v="26"/>
    <n v="320"/>
    <n v="13"/>
    <n v="5.8"/>
    <s v="Externo"/>
    <x v="1"/>
    <s v="Média"/>
    <x v="0"/>
  </r>
  <r>
    <n v="27"/>
    <n v="330"/>
    <n v="15"/>
    <n v="6"/>
    <s v="Interno"/>
    <x v="2"/>
    <s v="Baixa"/>
    <x v="1"/>
  </r>
  <r>
    <n v="28"/>
    <n v="340"/>
    <n v="14"/>
    <n v="6.2"/>
    <s v="Externo"/>
    <x v="0"/>
    <s v="Alta"/>
    <x v="0"/>
  </r>
  <r>
    <n v="29"/>
    <n v="350"/>
    <n v="16"/>
    <n v="6.5"/>
    <s v="Interno"/>
    <x v="3"/>
    <s v="Média"/>
    <x v="1"/>
  </r>
  <r>
    <n v="30"/>
    <n v="400"/>
    <n v="18"/>
    <n v="7"/>
    <s v="Externo"/>
    <x v="0"/>
    <s v="Baixa"/>
    <x v="1"/>
  </r>
  <r>
    <n v="31"/>
    <n v="115"/>
    <n v="2"/>
    <n v="0.5"/>
    <s v="Interno"/>
    <x v="1"/>
    <s v="Baixa"/>
    <x v="0"/>
  </r>
  <r>
    <n v="32"/>
    <n v="118"/>
    <n v="3"/>
    <n v="0.6"/>
    <s v="Externo"/>
    <x v="2"/>
    <s v="Média"/>
    <x v="0"/>
  </r>
  <r>
    <n v="33"/>
    <n v="122"/>
    <n v="4"/>
    <n v="0.7"/>
    <s v="Interno"/>
    <x v="0"/>
    <s v="Baixa"/>
    <x v="0"/>
  </r>
  <r>
    <n v="34"/>
    <n v="128"/>
    <n v="2"/>
    <n v="0.8"/>
    <s v="Externo"/>
    <x v="1"/>
    <s v="Alta"/>
    <x v="0"/>
  </r>
  <r>
    <n v="35"/>
    <n v="132"/>
    <n v="3"/>
    <n v="0.9"/>
    <s v="Interno"/>
    <x v="3"/>
    <s v="Média"/>
    <x v="0"/>
  </r>
  <r>
    <n v="36"/>
    <n v="138"/>
    <n v="4"/>
    <n v="1"/>
    <s v="Externo"/>
    <x v="0"/>
    <s v="Baixa"/>
    <x v="1"/>
  </r>
  <r>
    <n v="37"/>
    <n v="142"/>
    <n v="5"/>
    <n v="1.1000000000000001"/>
    <s v="Interno"/>
    <x v="1"/>
    <s v="Baixa"/>
    <x v="0"/>
  </r>
  <r>
    <n v="38"/>
    <n v="148"/>
    <n v="6"/>
    <n v="1.2"/>
    <s v="Externo"/>
    <x v="2"/>
    <s v="Média"/>
    <x v="0"/>
  </r>
  <r>
    <n v="39"/>
    <n v="152"/>
    <n v="5"/>
    <n v="1.3"/>
    <s v="Interno"/>
    <x v="0"/>
    <s v="Baixa"/>
    <x v="0"/>
  </r>
  <r>
    <n v="40"/>
    <n v="158"/>
    <n v="4"/>
    <n v="1.4"/>
    <s v="Externo"/>
    <x v="1"/>
    <s v="Alta"/>
    <x v="1"/>
  </r>
  <r>
    <n v="41"/>
    <n v="162"/>
    <n v="6"/>
    <n v="1.6"/>
    <s v="Interno"/>
    <x v="3"/>
    <s v="Média"/>
    <x v="0"/>
  </r>
  <r>
    <n v="42"/>
    <n v="168"/>
    <n v="7"/>
    <n v="1.7"/>
    <s v="Externo"/>
    <x v="0"/>
    <s v="Baixa"/>
    <x v="0"/>
  </r>
  <r>
    <n v="43"/>
    <n v="172"/>
    <n v="8"/>
    <n v="1.8"/>
    <s v="Interno"/>
    <x v="1"/>
    <s v="Alta"/>
    <x v="0"/>
  </r>
  <r>
    <n v="44"/>
    <n v="178"/>
    <n v="7"/>
    <n v="1.9"/>
    <s v="Externo"/>
    <x v="2"/>
    <s v="Média"/>
    <x v="1"/>
  </r>
  <r>
    <n v="45"/>
    <n v="182"/>
    <n v="6"/>
    <n v="2"/>
    <s v="Interno"/>
    <x v="0"/>
    <s v="Baixa"/>
    <x v="0"/>
  </r>
  <r>
    <n v="46"/>
    <n v="188"/>
    <n v="8"/>
    <n v="2.2000000000000002"/>
    <s v="Externo"/>
    <x v="1"/>
    <s v="Alta"/>
    <x v="0"/>
  </r>
  <r>
    <n v="47"/>
    <n v="192"/>
    <n v="9"/>
    <n v="2.5"/>
    <s v="Interno"/>
    <x v="3"/>
    <s v="Média"/>
    <x v="1"/>
  </r>
  <r>
    <n v="48"/>
    <n v="198"/>
    <n v="7"/>
    <n v="2.7"/>
    <s v="Externo"/>
    <x v="0"/>
    <s v="Baixa"/>
    <x v="0"/>
  </r>
  <r>
    <n v="49"/>
    <n v="205"/>
    <n v="10"/>
    <n v="3"/>
    <s v="Interno"/>
    <x v="1"/>
    <s v="Alta"/>
    <x v="0"/>
  </r>
  <r>
    <n v="50"/>
    <n v="215"/>
    <n v="11"/>
    <n v="3.3"/>
    <s v="Externo"/>
    <x v="2"/>
    <s v="Média"/>
    <x v="1"/>
  </r>
  <r>
    <n v="51"/>
    <n v="225"/>
    <n v="12"/>
    <n v="3.6"/>
    <s v="Interno"/>
    <x v="0"/>
    <s v="Baixa"/>
    <x v="0"/>
  </r>
  <r>
    <n v="52"/>
    <n v="235"/>
    <n v="13"/>
    <n v="3.9"/>
    <s v="Externo"/>
    <x v="1"/>
    <s v="Alta"/>
    <x v="0"/>
  </r>
  <r>
    <n v="53"/>
    <n v="245"/>
    <n v="11"/>
    <n v="4.0999999999999996"/>
    <s v="Interno"/>
    <x v="3"/>
    <s v="Média"/>
    <x v="1"/>
  </r>
  <r>
    <n v="54"/>
    <n v="255"/>
    <n v="10"/>
    <n v="4.3"/>
    <s v="Externo"/>
    <x v="0"/>
    <s v="Baixa"/>
    <x v="0"/>
  </r>
  <r>
    <n v="55"/>
    <n v="265"/>
    <n v="12"/>
    <n v="4.5999999999999996"/>
    <s v="Interno"/>
    <x v="1"/>
    <s v="Alta"/>
    <x v="1"/>
  </r>
  <r>
    <n v="56"/>
    <n v="275"/>
    <n v="13"/>
    <n v="4.9000000000000004"/>
    <s v="Externo"/>
    <x v="2"/>
    <s v="Média"/>
    <x v="0"/>
  </r>
  <r>
    <n v="57"/>
    <n v="285"/>
    <n v="14"/>
    <n v="5.2"/>
    <s v="Interno"/>
    <x v="0"/>
    <s v="Baixa"/>
    <x v="1"/>
  </r>
  <r>
    <n v="58"/>
    <n v="295"/>
    <n v="13"/>
    <n v="5.4"/>
    <s v="Externo"/>
    <x v="1"/>
    <s v="Alta"/>
    <x v="0"/>
  </r>
  <r>
    <n v="59"/>
    <n v="305"/>
    <n v="15"/>
    <n v="5.7"/>
    <s v="Interno"/>
    <x v="3"/>
    <s v="Média"/>
    <x v="1"/>
  </r>
  <r>
    <n v="60"/>
    <n v="315"/>
    <n v="14"/>
    <n v="6"/>
    <s v="Externo"/>
    <x v="0"/>
    <s v="Baixa"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n v="5"/>
    <n v="1.2"/>
    <x v="0"/>
    <x v="0"/>
    <s v="Baixa"/>
    <s v="Sucesso"/>
  </r>
  <r>
    <n v="2"/>
    <x v="1"/>
    <n v="3"/>
    <n v="0.8"/>
    <x v="0"/>
    <x v="1"/>
    <s v="Média"/>
    <s v="Sucesso"/>
  </r>
  <r>
    <n v="3"/>
    <x v="2"/>
    <n v="6"/>
    <n v="1.5"/>
    <x v="1"/>
    <x v="2"/>
    <s v="Baixa"/>
    <s v="Sucesso"/>
  </r>
  <r>
    <n v="4"/>
    <x v="3"/>
    <n v="4"/>
    <n v="2"/>
    <x v="0"/>
    <x v="0"/>
    <s v="Alta"/>
    <s v="Sucesso"/>
  </r>
  <r>
    <n v="5"/>
    <x v="4"/>
    <n v="7"/>
    <n v="1.1000000000000001"/>
    <x v="1"/>
    <x v="1"/>
    <s v="Média"/>
    <s v="Sucesso"/>
  </r>
  <r>
    <n v="6"/>
    <x v="5"/>
    <n v="5"/>
    <n v="1.3"/>
    <x v="0"/>
    <x v="0"/>
    <s v="Baixa"/>
    <s v="Erro"/>
  </r>
  <r>
    <n v="7"/>
    <x v="6"/>
    <n v="8"/>
    <n v="2.5"/>
    <x v="1"/>
    <x v="3"/>
    <s v="Alta"/>
    <s v="Sucesso"/>
  </r>
  <r>
    <n v="8"/>
    <x v="7"/>
    <n v="6"/>
    <n v="2.2000000000000002"/>
    <x v="0"/>
    <x v="0"/>
    <s v="Média"/>
    <s v="Sucesso"/>
  </r>
  <r>
    <n v="9"/>
    <x v="8"/>
    <n v="7"/>
    <n v="1.8"/>
    <x v="1"/>
    <x v="1"/>
    <s v="Baixa"/>
    <s v="Sucesso"/>
  </r>
  <r>
    <n v="10"/>
    <x v="9"/>
    <n v="4"/>
    <n v="1"/>
    <x v="0"/>
    <x v="2"/>
    <s v="Alta"/>
    <s v="Erro"/>
  </r>
  <r>
    <n v="11"/>
    <x v="10"/>
    <n v="3"/>
    <n v="0.9"/>
    <x v="0"/>
    <x v="0"/>
    <s v="Média"/>
    <s v="Sucesso"/>
  </r>
  <r>
    <n v="12"/>
    <x v="11"/>
    <n v="2"/>
    <n v="0.7"/>
    <x v="0"/>
    <x v="1"/>
    <s v="Baixa"/>
    <s v="Sucesso"/>
  </r>
  <r>
    <n v="13"/>
    <x v="12"/>
    <n v="3"/>
    <n v="0.6"/>
    <x v="1"/>
    <x v="3"/>
    <s v="Baixa"/>
    <s v="Sucesso"/>
  </r>
  <r>
    <n v="14"/>
    <x v="13"/>
    <n v="9"/>
    <n v="3"/>
    <x v="0"/>
    <x v="0"/>
    <s v="Média"/>
    <s v="Sucesso"/>
  </r>
  <r>
    <n v="15"/>
    <x v="14"/>
    <n v="10"/>
    <n v="3.2"/>
    <x v="1"/>
    <x v="1"/>
    <s v="Baixa"/>
    <s v="Erro"/>
  </r>
  <r>
    <n v="16"/>
    <x v="15"/>
    <n v="8"/>
    <n v="2.8"/>
    <x v="0"/>
    <x v="2"/>
    <s v="Alta"/>
    <s v="Sucesso"/>
  </r>
  <r>
    <n v="17"/>
    <x v="16"/>
    <n v="7"/>
    <n v="2.4"/>
    <x v="1"/>
    <x v="0"/>
    <s v="Média"/>
    <s v="Sucesso"/>
  </r>
  <r>
    <n v="18"/>
    <x v="17"/>
    <n v="11"/>
    <n v="3.5"/>
    <x v="0"/>
    <x v="3"/>
    <s v="Baixa"/>
    <s v="Erro"/>
  </r>
  <r>
    <n v="19"/>
    <x v="18"/>
    <n v="12"/>
    <n v="3.8"/>
    <x v="1"/>
    <x v="0"/>
    <s v="Alta"/>
    <s v="Sucesso"/>
  </r>
  <r>
    <n v="20"/>
    <x v="19"/>
    <n v="10"/>
    <n v="4"/>
    <x v="0"/>
    <x v="1"/>
    <s v="Média"/>
    <s v="Sucesso"/>
  </r>
  <r>
    <n v="21"/>
    <x v="20"/>
    <n v="9"/>
    <n v="4.2"/>
    <x v="0"/>
    <x v="2"/>
    <s v="Baixa"/>
    <s v="Erro"/>
  </r>
  <r>
    <n v="22"/>
    <x v="21"/>
    <n v="11"/>
    <n v="4.5"/>
    <x v="0"/>
    <x v="0"/>
    <s v="Alta"/>
    <s v="Sucesso"/>
  </r>
  <r>
    <n v="23"/>
    <x v="22"/>
    <n v="12"/>
    <n v="4.8"/>
    <x v="1"/>
    <x v="1"/>
    <s v="Média"/>
    <s v="Sucesso"/>
  </r>
  <r>
    <n v="24"/>
    <x v="23"/>
    <n v="13"/>
    <n v="5"/>
    <x v="0"/>
    <x v="3"/>
    <s v="Baixa"/>
    <s v="Erro"/>
  </r>
  <r>
    <n v="25"/>
    <x v="24"/>
    <n v="14"/>
    <n v="5.5"/>
    <x v="1"/>
    <x v="0"/>
    <s v="Baixa"/>
    <s v="Sucesso"/>
  </r>
  <r>
    <n v="26"/>
    <x v="25"/>
    <n v="13"/>
    <n v="5.8"/>
    <x v="0"/>
    <x v="1"/>
    <s v="Média"/>
    <s v="Sucesso"/>
  </r>
  <r>
    <n v="27"/>
    <x v="26"/>
    <n v="15"/>
    <n v="6"/>
    <x v="1"/>
    <x v="2"/>
    <s v="Baixa"/>
    <s v="Erro"/>
  </r>
  <r>
    <n v="28"/>
    <x v="27"/>
    <n v="14"/>
    <n v="6.2"/>
    <x v="0"/>
    <x v="0"/>
    <s v="Alta"/>
    <s v="Sucesso"/>
  </r>
  <r>
    <n v="29"/>
    <x v="28"/>
    <n v="16"/>
    <n v="6.5"/>
    <x v="1"/>
    <x v="3"/>
    <s v="Média"/>
    <s v="Erro"/>
  </r>
  <r>
    <n v="30"/>
    <x v="29"/>
    <n v="18"/>
    <n v="7"/>
    <x v="0"/>
    <x v="0"/>
    <s v="Baixa"/>
    <s v="Erro"/>
  </r>
  <r>
    <n v="31"/>
    <x v="30"/>
    <n v="2"/>
    <n v="0.5"/>
    <x v="1"/>
    <x v="1"/>
    <s v="Baixa"/>
    <s v="Sucesso"/>
  </r>
  <r>
    <n v="32"/>
    <x v="31"/>
    <n v="3"/>
    <n v="0.6"/>
    <x v="0"/>
    <x v="2"/>
    <s v="Média"/>
    <s v="Sucesso"/>
  </r>
  <r>
    <n v="33"/>
    <x v="32"/>
    <n v="4"/>
    <n v="0.7"/>
    <x v="1"/>
    <x v="0"/>
    <s v="Baixa"/>
    <s v="Sucesso"/>
  </r>
  <r>
    <n v="34"/>
    <x v="33"/>
    <n v="2"/>
    <n v="0.8"/>
    <x v="0"/>
    <x v="1"/>
    <s v="Alta"/>
    <s v="Sucesso"/>
  </r>
  <r>
    <n v="35"/>
    <x v="34"/>
    <n v="3"/>
    <n v="0.9"/>
    <x v="1"/>
    <x v="3"/>
    <s v="Média"/>
    <s v="Sucesso"/>
  </r>
  <r>
    <n v="36"/>
    <x v="35"/>
    <n v="4"/>
    <n v="1"/>
    <x v="0"/>
    <x v="0"/>
    <s v="Baixa"/>
    <s v="Erro"/>
  </r>
  <r>
    <n v="37"/>
    <x v="36"/>
    <n v="5"/>
    <n v="1.1000000000000001"/>
    <x v="1"/>
    <x v="1"/>
    <s v="Baixa"/>
    <s v="Sucesso"/>
  </r>
  <r>
    <n v="38"/>
    <x v="37"/>
    <n v="6"/>
    <n v="1.2"/>
    <x v="0"/>
    <x v="2"/>
    <s v="Média"/>
    <s v="Sucesso"/>
  </r>
  <r>
    <n v="39"/>
    <x v="38"/>
    <n v="5"/>
    <n v="1.3"/>
    <x v="1"/>
    <x v="0"/>
    <s v="Baixa"/>
    <s v="Sucesso"/>
  </r>
  <r>
    <n v="40"/>
    <x v="39"/>
    <n v="4"/>
    <n v="1.4"/>
    <x v="0"/>
    <x v="1"/>
    <s v="Alta"/>
    <s v="Erro"/>
  </r>
  <r>
    <n v="41"/>
    <x v="40"/>
    <n v="6"/>
    <n v="1.6"/>
    <x v="1"/>
    <x v="3"/>
    <s v="Média"/>
    <s v="Sucesso"/>
  </r>
  <r>
    <n v="42"/>
    <x v="41"/>
    <n v="7"/>
    <n v="1.7"/>
    <x v="0"/>
    <x v="0"/>
    <s v="Baixa"/>
    <s v="Sucesso"/>
  </r>
  <r>
    <n v="43"/>
    <x v="42"/>
    <n v="8"/>
    <n v="1.8"/>
    <x v="1"/>
    <x v="1"/>
    <s v="Alta"/>
    <s v="Sucesso"/>
  </r>
  <r>
    <n v="44"/>
    <x v="43"/>
    <n v="7"/>
    <n v="1.9"/>
    <x v="0"/>
    <x v="2"/>
    <s v="Média"/>
    <s v="Erro"/>
  </r>
  <r>
    <n v="45"/>
    <x v="44"/>
    <n v="6"/>
    <n v="2"/>
    <x v="1"/>
    <x v="0"/>
    <s v="Baixa"/>
    <s v="Sucesso"/>
  </r>
  <r>
    <n v="46"/>
    <x v="45"/>
    <n v="8"/>
    <n v="2.2000000000000002"/>
    <x v="0"/>
    <x v="1"/>
    <s v="Alta"/>
    <s v="Sucesso"/>
  </r>
  <r>
    <n v="47"/>
    <x v="46"/>
    <n v="9"/>
    <n v="2.5"/>
    <x v="1"/>
    <x v="3"/>
    <s v="Média"/>
    <s v="Erro"/>
  </r>
  <r>
    <n v="48"/>
    <x v="47"/>
    <n v="7"/>
    <n v="2.7"/>
    <x v="0"/>
    <x v="0"/>
    <s v="Baixa"/>
    <s v="Sucesso"/>
  </r>
  <r>
    <n v="49"/>
    <x v="48"/>
    <n v="10"/>
    <n v="3"/>
    <x v="1"/>
    <x v="1"/>
    <s v="Alta"/>
    <s v="Sucesso"/>
  </r>
  <r>
    <n v="50"/>
    <x v="49"/>
    <n v="11"/>
    <n v="3.3"/>
    <x v="0"/>
    <x v="2"/>
    <s v="Média"/>
    <s v="Erro"/>
  </r>
  <r>
    <n v="51"/>
    <x v="50"/>
    <n v="12"/>
    <n v="3.6"/>
    <x v="1"/>
    <x v="0"/>
    <s v="Baixa"/>
    <s v="Sucesso"/>
  </r>
  <r>
    <n v="52"/>
    <x v="51"/>
    <n v="13"/>
    <n v="3.9"/>
    <x v="0"/>
    <x v="1"/>
    <s v="Alta"/>
    <s v="Sucesso"/>
  </r>
  <r>
    <n v="53"/>
    <x v="52"/>
    <n v="11"/>
    <n v="4.0999999999999996"/>
    <x v="1"/>
    <x v="3"/>
    <s v="Média"/>
    <s v="Erro"/>
  </r>
  <r>
    <n v="54"/>
    <x v="53"/>
    <n v="10"/>
    <n v="4.3"/>
    <x v="0"/>
    <x v="0"/>
    <s v="Baixa"/>
    <s v="Sucesso"/>
  </r>
  <r>
    <n v="55"/>
    <x v="54"/>
    <n v="12"/>
    <n v="4.5999999999999996"/>
    <x v="1"/>
    <x v="1"/>
    <s v="Alta"/>
    <s v="Erro"/>
  </r>
  <r>
    <n v="56"/>
    <x v="55"/>
    <n v="13"/>
    <n v="4.9000000000000004"/>
    <x v="0"/>
    <x v="2"/>
    <s v="Média"/>
    <s v="Sucesso"/>
  </r>
  <r>
    <n v="57"/>
    <x v="56"/>
    <n v="14"/>
    <n v="5.2"/>
    <x v="1"/>
    <x v="0"/>
    <s v="Baixa"/>
    <s v="Erro"/>
  </r>
  <r>
    <n v="58"/>
    <x v="57"/>
    <n v="13"/>
    <n v="5.4"/>
    <x v="0"/>
    <x v="1"/>
    <s v="Alta"/>
    <s v="Sucesso"/>
  </r>
  <r>
    <n v="59"/>
    <x v="58"/>
    <n v="15"/>
    <n v="5.7"/>
    <x v="1"/>
    <x v="3"/>
    <s v="Média"/>
    <s v="Erro"/>
  </r>
  <r>
    <n v="60"/>
    <x v="59"/>
    <n v="14"/>
    <n v="6"/>
    <x v="0"/>
    <x v="0"/>
    <s v="Baixa"/>
    <s v="Sucesso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s v="Externo"/>
    <x v="0"/>
    <s v="Baixa"/>
    <s v="Sucesso"/>
  </r>
  <r>
    <n v="2"/>
    <n v="135"/>
    <n v="3"/>
    <n v="0.8"/>
    <s v="Externo"/>
    <x v="1"/>
    <s v="Média"/>
    <s v="Sucesso"/>
  </r>
  <r>
    <n v="3"/>
    <n v="150"/>
    <n v="6"/>
    <n v="1.5"/>
    <s v="Interno"/>
    <x v="2"/>
    <s v="Baixa"/>
    <s v="Sucesso"/>
  </r>
  <r>
    <n v="4"/>
    <n v="160"/>
    <n v="4"/>
    <n v="2"/>
    <s v="Externo"/>
    <x v="0"/>
    <s v="Alta"/>
    <s v="Sucesso"/>
  </r>
  <r>
    <n v="5"/>
    <n v="145"/>
    <n v="7"/>
    <n v="1.1000000000000001"/>
    <s v="Interno"/>
    <x v="1"/>
    <s v="Média"/>
    <s v="Sucesso"/>
  </r>
  <r>
    <n v="6"/>
    <n v="155"/>
    <n v="5"/>
    <n v="1.3"/>
    <s v="Externo"/>
    <x v="0"/>
    <s v="Baixa"/>
    <s v="Erro"/>
  </r>
  <r>
    <n v="7"/>
    <n v="170"/>
    <n v="8"/>
    <n v="2.5"/>
    <s v="Interno"/>
    <x v="3"/>
    <s v="Alta"/>
    <s v="Sucesso"/>
  </r>
  <r>
    <n v="8"/>
    <n v="180"/>
    <n v="6"/>
    <n v="2.2000000000000002"/>
    <s v="Externo"/>
    <x v="0"/>
    <s v="Média"/>
    <s v="Sucesso"/>
  </r>
  <r>
    <n v="9"/>
    <n v="175"/>
    <n v="7"/>
    <n v="1.8"/>
    <s v="Interno"/>
    <x v="1"/>
    <s v="Baixa"/>
    <s v="Sucesso"/>
  </r>
  <r>
    <n v="10"/>
    <n v="165"/>
    <n v="4"/>
    <n v="1"/>
    <s v="Externo"/>
    <x v="2"/>
    <s v="Alta"/>
    <s v="Erro"/>
  </r>
  <r>
    <n v="11"/>
    <n v="140"/>
    <n v="3"/>
    <n v="0.9"/>
    <s v="Externo"/>
    <x v="0"/>
    <s v="Média"/>
    <s v="Sucesso"/>
  </r>
  <r>
    <n v="12"/>
    <n v="130"/>
    <n v="2"/>
    <n v="0.7"/>
    <s v="Externo"/>
    <x v="1"/>
    <s v="Baixa"/>
    <s v="Sucesso"/>
  </r>
  <r>
    <n v="13"/>
    <n v="125"/>
    <n v="3"/>
    <n v="0.6"/>
    <s v="Interno"/>
    <x v="3"/>
    <s v="Baixa"/>
    <s v="Sucesso"/>
  </r>
  <r>
    <n v="14"/>
    <n v="200"/>
    <n v="9"/>
    <n v="3"/>
    <s v="Externo"/>
    <x v="0"/>
    <s v="Média"/>
    <s v="Sucesso"/>
  </r>
  <r>
    <n v="15"/>
    <n v="210"/>
    <n v="10"/>
    <n v="3.2"/>
    <s v="Interno"/>
    <x v="1"/>
    <s v="Baixa"/>
    <s v="Erro"/>
  </r>
  <r>
    <n v="16"/>
    <n v="190"/>
    <n v="8"/>
    <n v="2.8"/>
    <s v="Externo"/>
    <x v="2"/>
    <s v="Alta"/>
    <s v="Sucesso"/>
  </r>
  <r>
    <n v="17"/>
    <n v="185"/>
    <n v="7"/>
    <n v="2.4"/>
    <s v="Interno"/>
    <x v="0"/>
    <s v="Média"/>
    <s v="Sucesso"/>
  </r>
  <r>
    <n v="18"/>
    <n v="220"/>
    <n v="11"/>
    <n v="3.5"/>
    <s v="Externo"/>
    <x v="3"/>
    <s v="Baixa"/>
    <s v="Erro"/>
  </r>
  <r>
    <n v="19"/>
    <n v="230"/>
    <n v="12"/>
    <n v="3.8"/>
    <s v="Interno"/>
    <x v="0"/>
    <s v="Alta"/>
    <s v="Sucesso"/>
  </r>
  <r>
    <n v="20"/>
    <n v="240"/>
    <n v="10"/>
    <n v="4"/>
    <s v="Externo"/>
    <x v="1"/>
    <s v="Média"/>
    <s v="Sucesso"/>
  </r>
  <r>
    <n v="21"/>
    <n v="250"/>
    <n v="9"/>
    <n v="4.2"/>
    <s v="Externo"/>
    <x v="2"/>
    <s v="Baixa"/>
    <s v="Erro"/>
  </r>
  <r>
    <n v="22"/>
    <n v="260"/>
    <n v="11"/>
    <n v="4.5"/>
    <s v="Externo"/>
    <x v="0"/>
    <s v="Alta"/>
    <s v="Sucesso"/>
  </r>
  <r>
    <n v="23"/>
    <n v="270"/>
    <n v="12"/>
    <n v="4.8"/>
    <s v="Interno"/>
    <x v="1"/>
    <s v="Média"/>
    <s v="Sucesso"/>
  </r>
  <r>
    <n v="24"/>
    <n v="300"/>
    <n v="13"/>
    <n v="5"/>
    <s v="Externo"/>
    <x v="3"/>
    <s v="Baixa"/>
    <s v="Erro"/>
  </r>
  <r>
    <n v="25"/>
    <n v="310"/>
    <n v="14"/>
    <n v="5.5"/>
    <s v="Interno"/>
    <x v="0"/>
    <s v="Baixa"/>
    <s v="Sucesso"/>
  </r>
  <r>
    <n v="26"/>
    <n v="320"/>
    <n v="13"/>
    <n v="5.8"/>
    <s v="Externo"/>
    <x v="1"/>
    <s v="Média"/>
    <s v="Sucesso"/>
  </r>
  <r>
    <n v="27"/>
    <n v="330"/>
    <n v="15"/>
    <n v="6"/>
    <s v="Interno"/>
    <x v="2"/>
    <s v="Baixa"/>
    <s v="Erro"/>
  </r>
  <r>
    <n v="28"/>
    <n v="340"/>
    <n v="14"/>
    <n v="6.2"/>
    <s v="Externo"/>
    <x v="0"/>
    <s v="Alta"/>
    <s v="Sucesso"/>
  </r>
  <r>
    <n v="29"/>
    <n v="350"/>
    <n v="16"/>
    <n v="6.5"/>
    <s v="Interno"/>
    <x v="3"/>
    <s v="Média"/>
    <s v="Erro"/>
  </r>
  <r>
    <n v="30"/>
    <n v="400"/>
    <n v="18"/>
    <n v="7"/>
    <s v="Externo"/>
    <x v="0"/>
    <s v="Baixa"/>
    <s v="Erro"/>
  </r>
  <r>
    <n v="31"/>
    <n v="115"/>
    <n v="2"/>
    <n v="0.5"/>
    <s v="Interno"/>
    <x v="1"/>
    <s v="Baixa"/>
    <s v="Sucesso"/>
  </r>
  <r>
    <n v="32"/>
    <n v="118"/>
    <n v="3"/>
    <n v="0.6"/>
    <s v="Externo"/>
    <x v="2"/>
    <s v="Média"/>
    <s v="Sucesso"/>
  </r>
  <r>
    <n v="33"/>
    <n v="122"/>
    <n v="4"/>
    <n v="0.7"/>
    <s v="Interno"/>
    <x v="0"/>
    <s v="Baixa"/>
    <s v="Sucesso"/>
  </r>
  <r>
    <n v="34"/>
    <n v="128"/>
    <n v="2"/>
    <n v="0.8"/>
    <s v="Externo"/>
    <x v="1"/>
    <s v="Alta"/>
    <s v="Sucesso"/>
  </r>
  <r>
    <n v="35"/>
    <n v="132"/>
    <n v="3"/>
    <n v="0.9"/>
    <s v="Interno"/>
    <x v="3"/>
    <s v="Média"/>
    <s v="Sucesso"/>
  </r>
  <r>
    <n v="36"/>
    <n v="138"/>
    <n v="4"/>
    <n v="1"/>
    <s v="Externo"/>
    <x v="0"/>
    <s v="Baixa"/>
    <s v="Erro"/>
  </r>
  <r>
    <n v="37"/>
    <n v="142"/>
    <n v="5"/>
    <n v="1.1000000000000001"/>
    <s v="Interno"/>
    <x v="1"/>
    <s v="Baixa"/>
    <s v="Sucesso"/>
  </r>
  <r>
    <n v="38"/>
    <n v="148"/>
    <n v="6"/>
    <n v="1.2"/>
    <s v="Externo"/>
    <x v="2"/>
    <s v="Média"/>
    <s v="Sucesso"/>
  </r>
  <r>
    <n v="39"/>
    <n v="152"/>
    <n v="5"/>
    <n v="1.3"/>
    <s v="Interno"/>
    <x v="0"/>
    <s v="Baixa"/>
    <s v="Sucesso"/>
  </r>
  <r>
    <n v="40"/>
    <n v="158"/>
    <n v="4"/>
    <n v="1.4"/>
    <s v="Externo"/>
    <x v="1"/>
    <s v="Alta"/>
    <s v="Erro"/>
  </r>
  <r>
    <n v="41"/>
    <n v="162"/>
    <n v="6"/>
    <n v="1.6"/>
    <s v="Interno"/>
    <x v="3"/>
    <s v="Média"/>
    <s v="Sucesso"/>
  </r>
  <r>
    <n v="42"/>
    <n v="168"/>
    <n v="7"/>
    <n v="1.7"/>
    <s v="Externo"/>
    <x v="0"/>
    <s v="Baixa"/>
    <s v="Sucesso"/>
  </r>
  <r>
    <n v="43"/>
    <n v="172"/>
    <n v="8"/>
    <n v="1.8"/>
    <s v="Interno"/>
    <x v="1"/>
    <s v="Alta"/>
    <s v="Sucesso"/>
  </r>
  <r>
    <n v="44"/>
    <n v="178"/>
    <n v="7"/>
    <n v="1.9"/>
    <s v="Externo"/>
    <x v="2"/>
    <s v="Média"/>
    <s v="Erro"/>
  </r>
  <r>
    <n v="45"/>
    <n v="182"/>
    <n v="6"/>
    <n v="2"/>
    <s v="Interno"/>
    <x v="0"/>
    <s v="Baixa"/>
    <s v="Sucesso"/>
  </r>
  <r>
    <n v="46"/>
    <n v="188"/>
    <n v="8"/>
    <n v="2.2000000000000002"/>
    <s v="Externo"/>
    <x v="1"/>
    <s v="Alta"/>
    <s v="Sucesso"/>
  </r>
  <r>
    <n v="47"/>
    <n v="192"/>
    <n v="9"/>
    <n v="2.5"/>
    <s v="Interno"/>
    <x v="3"/>
    <s v="Média"/>
    <s v="Erro"/>
  </r>
  <r>
    <n v="48"/>
    <n v="198"/>
    <n v="7"/>
    <n v="2.7"/>
    <s v="Externo"/>
    <x v="0"/>
    <s v="Baixa"/>
    <s v="Sucesso"/>
  </r>
  <r>
    <n v="49"/>
    <n v="205"/>
    <n v="10"/>
    <n v="3"/>
    <s v="Interno"/>
    <x v="1"/>
    <s v="Alta"/>
    <s v="Sucesso"/>
  </r>
  <r>
    <n v="50"/>
    <n v="215"/>
    <n v="11"/>
    <n v="3.3"/>
    <s v="Externo"/>
    <x v="2"/>
    <s v="Média"/>
    <s v="Erro"/>
  </r>
  <r>
    <n v="51"/>
    <n v="225"/>
    <n v="12"/>
    <n v="3.6"/>
    <s v="Interno"/>
    <x v="0"/>
    <s v="Baixa"/>
    <s v="Sucesso"/>
  </r>
  <r>
    <n v="52"/>
    <n v="235"/>
    <n v="13"/>
    <n v="3.9"/>
    <s v="Externo"/>
    <x v="1"/>
    <s v="Alta"/>
    <s v="Sucesso"/>
  </r>
  <r>
    <n v="53"/>
    <n v="245"/>
    <n v="11"/>
    <n v="4.0999999999999996"/>
    <s v="Interno"/>
    <x v="3"/>
    <s v="Média"/>
    <s v="Erro"/>
  </r>
  <r>
    <n v="54"/>
    <n v="255"/>
    <n v="10"/>
    <n v="4.3"/>
    <s v="Externo"/>
    <x v="0"/>
    <s v="Baixa"/>
    <s v="Sucesso"/>
  </r>
  <r>
    <n v="55"/>
    <n v="265"/>
    <n v="12"/>
    <n v="4.5999999999999996"/>
    <s v="Interno"/>
    <x v="1"/>
    <s v="Alta"/>
    <s v="Erro"/>
  </r>
  <r>
    <n v="56"/>
    <n v="275"/>
    <n v="13"/>
    <n v="4.9000000000000004"/>
    <s v="Externo"/>
    <x v="2"/>
    <s v="Média"/>
    <s v="Sucesso"/>
  </r>
  <r>
    <n v="57"/>
    <n v="285"/>
    <n v="14"/>
    <n v="5.2"/>
    <s v="Interno"/>
    <x v="0"/>
    <s v="Baixa"/>
    <s v="Erro"/>
  </r>
  <r>
    <n v="58"/>
    <n v="295"/>
    <n v="13"/>
    <n v="5.4"/>
    <s v="Externo"/>
    <x v="1"/>
    <s v="Alta"/>
    <s v="Sucesso"/>
  </r>
  <r>
    <n v="59"/>
    <n v="305"/>
    <n v="15"/>
    <n v="5.7"/>
    <s v="Interno"/>
    <x v="3"/>
    <s v="Média"/>
    <s v="Erro"/>
  </r>
  <r>
    <n v="60"/>
    <n v="315"/>
    <n v="14"/>
    <n v="6"/>
    <s v="Externo"/>
    <x v="0"/>
    <s v="Baixa"/>
    <s v="Sucesso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x v="0"/>
    <x v="0"/>
    <s v="Baixa"/>
    <s v="Sucesso"/>
  </r>
  <r>
    <n v="2"/>
    <n v="135"/>
    <n v="3"/>
    <n v="0.8"/>
    <x v="0"/>
    <x v="1"/>
    <s v="Média"/>
    <s v="Sucesso"/>
  </r>
  <r>
    <n v="3"/>
    <n v="150"/>
    <n v="6"/>
    <n v="1.5"/>
    <x v="1"/>
    <x v="2"/>
    <s v="Baixa"/>
    <s v="Sucesso"/>
  </r>
  <r>
    <n v="4"/>
    <n v="160"/>
    <n v="4"/>
    <n v="2"/>
    <x v="0"/>
    <x v="0"/>
    <s v="Alta"/>
    <s v="Sucesso"/>
  </r>
  <r>
    <n v="5"/>
    <n v="145"/>
    <n v="7"/>
    <n v="1.1000000000000001"/>
    <x v="1"/>
    <x v="1"/>
    <s v="Média"/>
    <s v="Sucesso"/>
  </r>
  <r>
    <n v="6"/>
    <n v="155"/>
    <n v="5"/>
    <n v="1.3"/>
    <x v="0"/>
    <x v="0"/>
    <s v="Baixa"/>
    <s v="Erro"/>
  </r>
  <r>
    <n v="7"/>
    <n v="170"/>
    <n v="8"/>
    <n v="2.5"/>
    <x v="1"/>
    <x v="3"/>
    <s v="Alta"/>
    <s v="Sucesso"/>
  </r>
  <r>
    <n v="8"/>
    <n v="180"/>
    <n v="6"/>
    <n v="2.2000000000000002"/>
    <x v="0"/>
    <x v="0"/>
    <s v="Média"/>
    <s v="Sucesso"/>
  </r>
  <r>
    <n v="9"/>
    <n v="175"/>
    <n v="7"/>
    <n v="1.8"/>
    <x v="1"/>
    <x v="1"/>
    <s v="Baixa"/>
    <s v="Sucesso"/>
  </r>
  <r>
    <n v="10"/>
    <n v="165"/>
    <n v="4"/>
    <n v="1"/>
    <x v="0"/>
    <x v="2"/>
    <s v="Alta"/>
    <s v="Erro"/>
  </r>
  <r>
    <n v="11"/>
    <n v="140"/>
    <n v="3"/>
    <n v="0.9"/>
    <x v="0"/>
    <x v="0"/>
    <s v="Média"/>
    <s v="Sucesso"/>
  </r>
  <r>
    <n v="12"/>
    <n v="130"/>
    <n v="2"/>
    <n v="0.7"/>
    <x v="0"/>
    <x v="1"/>
    <s v="Baixa"/>
    <s v="Sucesso"/>
  </r>
  <r>
    <n v="13"/>
    <n v="125"/>
    <n v="3"/>
    <n v="0.6"/>
    <x v="1"/>
    <x v="3"/>
    <s v="Baixa"/>
    <s v="Sucesso"/>
  </r>
  <r>
    <n v="14"/>
    <n v="200"/>
    <n v="9"/>
    <n v="3"/>
    <x v="0"/>
    <x v="0"/>
    <s v="Média"/>
    <s v="Sucesso"/>
  </r>
  <r>
    <n v="15"/>
    <n v="210"/>
    <n v="10"/>
    <n v="3.2"/>
    <x v="1"/>
    <x v="1"/>
    <s v="Baixa"/>
    <s v="Erro"/>
  </r>
  <r>
    <n v="16"/>
    <n v="190"/>
    <n v="8"/>
    <n v="2.8"/>
    <x v="0"/>
    <x v="2"/>
    <s v="Alta"/>
    <s v="Sucesso"/>
  </r>
  <r>
    <n v="17"/>
    <n v="185"/>
    <n v="7"/>
    <n v="2.4"/>
    <x v="1"/>
    <x v="0"/>
    <s v="Média"/>
    <s v="Sucesso"/>
  </r>
  <r>
    <n v="18"/>
    <n v="220"/>
    <n v="11"/>
    <n v="3.5"/>
    <x v="0"/>
    <x v="3"/>
    <s v="Baixa"/>
    <s v="Erro"/>
  </r>
  <r>
    <n v="19"/>
    <n v="230"/>
    <n v="12"/>
    <n v="3.8"/>
    <x v="1"/>
    <x v="0"/>
    <s v="Alta"/>
    <s v="Sucesso"/>
  </r>
  <r>
    <n v="20"/>
    <n v="240"/>
    <n v="10"/>
    <n v="4"/>
    <x v="0"/>
    <x v="1"/>
    <s v="Média"/>
    <s v="Sucesso"/>
  </r>
  <r>
    <n v="21"/>
    <n v="250"/>
    <n v="9"/>
    <n v="4.2"/>
    <x v="0"/>
    <x v="2"/>
    <s v="Baixa"/>
    <s v="Erro"/>
  </r>
  <r>
    <n v="22"/>
    <n v="260"/>
    <n v="11"/>
    <n v="4.5"/>
    <x v="0"/>
    <x v="0"/>
    <s v="Alta"/>
    <s v="Sucesso"/>
  </r>
  <r>
    <n v="23"/>
    <n v="270"/>
    <n v="12"/>
    <n v="4.8"/>
    <x v="1"/>
    <x v="1"/>
    <s v="Média"/>
    <s v="Sucesso"/>
  </r>
  <r>
    <n v="24"/>
    <n v="300"/>
    <n v="13"/>
    <n v="5"/>
    <x v="0"/>
    <x v="3"/>
    <s v="Baixa"/>
    <s v="Erro"/>
  </r>
  <r>
    <n v="25"/>
    <n v="310"/>
    <n v="14"/>
    <n v="5.5"/>
    <x v="1"/>
    <x v="0"/>
    <s v="Baixa"/>
    <s v="Sucesso"/>
  </r>
  <r>
    <n v="26"/>
    <n v="320"/>
    <n v="13"/>
    <n v="5.8"/>
    <x v="0"/>
    <x v="1"/>
    <s v="Média"/>
    <s v="Sucesso"/>
  </r>
  <r>
    <n v="27"/>
    <n v="330"/>
    <n v="15"/>
    <n v="6"/>
    <x v="1"/>
    <x v="2"/>
    <s v="Baixa"/>
    <s v="Erro"/>
  </r>
  <r>
    <n v="28"/>
    <n v="340"/>
    <n v="14"/>
    <n v="6.2"/>
    <x v="0"/>
    <x v="0"/>
    <s v="Alta"/>
    <s v="Sucesso"/>
  </r>
  <r>
    <n v="29"/>
    <n v="350"/>
    <n v="16"/>
    <n v="6.5"/>
    <x v="1"/>
    <x v="3"/>
    <s v="Média"/>
    <s v="Erro"/>
  </r>
  <r>
    <n v="30"/>
    <n v="400"/>
    <n v="18"/>
    <n v="7"/>
    <x v="0"/>
    <x v="0"/>
    <s v="Baixa"/>
    <s v="Erro"/>
  </r>
  <r>
    <n v="31"/>
    <n v="115"/>
    <n v="2"/>
    <n v="0.5"/>
    <x v="1"/>
    <x v="1"/>
    <s v="Baixa"/>
    <s v="Sucesso"/>
  </r>
  <r>
    <n v="32"/>
    <n v="118"/>
    <n v="3"/>
    <n v="0.6"/>
    <x v="0"/>
    <x v="2"/>
    <s v="Média"/>
    <s v="Sucesso"/>
  </r>
  <r>
    <n v="33"/>
    <n v="122"/>
    <n v="4"/>
    <n v="0.7"/>
    <x v="1"/>
    <x v="0"/>
    <s v="Baixa"/>
    <s v="Sucesso"/>
  </r>
  <r>
    <n v="34"/>
    <n v="128"/>
    <n v="2"/>
    <n v="0.8"/>
    <x v="0"/>
    <x v="1"/>
    <s v="Alta"/>
    <s v="Sucesso"/>
  </r>
  <r>
    <n v="35"/>
    <n v="132"/>
    <n v="3"/>
    <n v="0.9"/>
    <x v="1"/>
    <x v="3"/>
    <s v="Média"/>
    <s v="Sucesso"/>
  </r>
  <r>
    <n v="36"/>
    <n v="138"/>
    <n v="4"/>
    <n v="1"/>
    <x v="0"/>
    <x v="0"/>
    <s v="Baixa"/>
    <s v="Erro"/>
  </r>
  <r>
    <n v="37"/>
    <n v="142"/>
    <n v="5"/>
    <n v="1.1000000000000001"/>
    <x v="1"/>
    <x v="1"/>
    <s v="Baixa"/>
    <s v="Sucesso"/>
  </r>
  <r>
    <n v="38"/>
    <n v="148"/>
    <n v="6"/>
    <n v="1.2"/>
    <x v="0"/>
    <x v="2"/>
    <s v="Média"/>
    <s v="Sucesso"/>
  </r>
  <r>
    <n v="39"/>
    <n v="152"/>
    <n v="5"/>
    <n v="1.3"/>
    <x v="1"/>
    <x v="0"/>
    <s v="Baixa"/>
    <s v="Sucesso"/>
  </r>
  <r>
    <n v="40"/>
    <n v="158"/>
    <n v="4"/>
    <n v="1.4"/>
    <x v="0"/>
    <x v="1"/>
    <s v="Alta"/>
    <s v="Erro"/>
  </r>
  <r>
    <n v="41"/>
    <n v="162"/>
    <n v="6"/>
    <n v="1.6"/>
    <x v="1"/>
    <x v="3"/>
    <s v="Média"/>
    <s v="Sucesso"/>
  </r>
  <r>
    <n v="42"/>
    <n v="168"/>
    <n v="7"/>
    <n v="1.7"/>
    <x v="0"/>
    <x v="0"/>
    <s v="Baixa"/>
    <s v="Sucesso"/>
  </r>
  <r>
    <n v="43"/>
    <n v="172"/>
    <n v="8"/>
    <n v="1.8"/>
    <x v="1"/>
    <x v="1"/>
    <s v="Alta"/>
    <s v="Sucesso"/>
  </r>
  <r>
    <n v="44"/>
    <n v="178"/>
    <n v="7"/>
    <n v="1.9"/>
    <x v="0"/>
    <x v="2"/>
    <s v="Média"/>
    <s v="Erro"/>
  </r>
  <r>
    <n v="45"/>
    <n v="182"/>
    <n v="6"/>
    <n v="2"/>
    <x v="1"/>
    <x v="0"/>
    <s v="Baixa"/>
    <s v="Sucesso"/>
  </r>
  <r>
    <n v="46"/>
    <n v="188"/>
    <n v="8"/>
    <n v="2.2000000000000002"/>
    <x v="0"/>
    <x v="1"/>
    <s v="Alta"/>
    <s v="Sucesso"/>
  </r>
  <r>
    <n v="47"/>
    <n v="192"/>
    <n v="9"/>
    <n v="2.5"/>
    <x v="1"/>
    <x v="3"/>
    <s v="Média"/>
    <s v="Erro"/>
  </r>
  <r>
    <n v="48"/>
    <n v="198"/>
    <n v="7"/>
    <n v="2.7"/>
    <x v="0"/>
    <x v="0"/>
    <s v="Baixa"/>
    <s v="Sucesso"/>
  </r>
  <r>
    <n v="49"/>
    <n v="205"/>
    <n v="10"/>
    <n v="3"/>
    <x v="1"/>
    <x v="1"/>
    <s v="Alta"/>
    <s v="Sucesso"/>
  </r>
  <r>
    <n v="50"/>
    <n v="215"/>
    <n v="11"/>
    <n v="3.3"/>
    <x v="0"/>
    <x v="2"/>
    <s v="Média"/>
    <s v="Erro"/>
  </r>
  <r>
    <n v="51"/>
    <n v="225"/>
    <n v="12"/>
    <n v="3.6"/>
    <x v="1"/>
    <x v="0"/>
    <s v="Baixa"/>
    <s v="Sucesso"/>
  </r>
  <r>
    <n v="52"/>
    <n v="235"/>
    <n v="13"/>
    <n v="3.9"/>
    <x v="0"/>
    <x v="1"/>
    <s v="Alta"/>
    <s v="Sucesso"/>
  </r>
  <r>
    <n v="53"/>
    <n v="245"/>
    <n v="11"/>
    <n v="4.0999999999999996"/>
    <x v="1"/>
    <x v="3"/>
    <s v="Média"/>
    <s v="Erro"/>
  </r>
  <r>
    <n v="54"/>
    <n v="255"/>
    <n v="10"/>
    <n v="4.3"/>
    <x v="0"/>
    <x v="0"/>
    <s v="Baixa"/>
    <s v="Sucesso"/>
  </r>
  <r>
    <n v="55"/>
    <n v="265"/>
    <n v="12"/>
    <n v="4.5999999999999996"/>
    <x v="1"/>
    <x v="1"/>
    <s v="Alta"/>
    <s v="Erro"/>
  </r>
  <r>
    <n v="56"/>
    <n v="275"/>
    <n v="13"/>
    <n v="4.9000000000000004"/>
    <x v="0"/>
    <x v="2"/>
    <s v="Média"/>
    <s v="Sucesso"/>
  </r>
  <r>
    <n v="57"/>
    <n v="285"/>
    <n v="14"/>
    <n v="5.2"/>
    <x v="1"/>
    <x v="0"/>
    <s v="Baixa"/>
    <s v="Erro"/>
  </r>
  <r>
    <n v="58"/>
    <n v="295"/>
    <n v="13"/>
    <n v="5.4"/>
    <x v="0"/>
    <x v="1"/>
    <s v="Alta"/>
    <s v="Sucesso"/>
  </r>
  <r>
    <n v="59"/>
    <n v="305"/>
    <n v="15"/>
    <n v="5.7"/>
    <x v="1"/>
    <x v="3"/>
    <s v="Média"/>
    <s v="Erro"/>
  </r>
  <r>
    <n v="60"/>
    <n v="315"/>
    <n v="14"/>
    <n v="6"/>
    <x v="0"/>
    <x v="0"/>
    <s v="Baixa"/>
    <s v="Sucesso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120"/>
    <n v="5"/>
    <n v="1.2"/>
    <s v="Externo"/>
    <x v="0"/>
    <x v="0"/>
    <x v="0"/>
  </r>
  <r>
    <n v="2"/>
    <n v="135"/>
    <n v="3"/>
    <n v="0.8"/>
    <s v="Externo"/>
    <x v="1"/>
    <x v="1"/>
    <x v="0"/>
  </r>
  <r>
    <n v="3"/>
    <n v="150"/>
    <n v="6"/>
    <n v="1.5"/>
    <s v="Interno"/>
    <x v="2"/>
    <x v="0"/>
    <x v="0"/>
  </r>
  <r>
    <n v="4"/>
    <n v="160"/>
    <n v="4"/>
    <n v="2"/>
    <s v="Externo"/>
    <x v="0"/>
    <x v="2"/>
    <x v="0"/>
  </r>
  <r>
    <n v="5"/>
    <n v="145"/>
    <n v="7"/>
    <n v="1.1000000000000001"/>
    <s v="Interno"/>
    <x v="1"/>
    <x v="1"/>
    <x v="0"/>
  </r>
  <r>
    <n v="6"/>
    <n v="155"/>
    <n v="5"/>
    <n v="1.3"/>
    <s v="Externo"/>
    <x v="0"/>
    <x v="0"/>
    <x v="1"/>
  </r>
  <r>
    <n v="7"/>
    <n v="170"/>
    <n v="8"/>
    <n v="2.5"/>
    <s v="Interno"/>
    <x v="3"/>
    <x v="2"/>
    <x v="0"/>
  </r>
  <r>
    <n v="8"/>
    <n v="180"/>
    <n v="6"/>
    <n v="2.2000000000000002"/>
    <s v="Externo"/>
    <x v="0"/>
    <x v="1"/>
    <x v="0"/>
  </r>
  <r>
    <n v="9"/>
    <n v="175"/>
    <n v="7"/>
    <n v="1.8"/>
    <s v="Interno"/>
    <x v="1"/>
    <x v="0"/>
    <x v="0"/>
  </r>
  <r>
    <n v="10"/>
    <n v="165"/>
    <n v="4"/>
    <n v="1"/>
    <s v="Externo"/>
    <x v="2"/>
    <x v="2"/>
    <x v="1"/>
  </r>
  <r>
    <n v="11"/>
    <n v="140"/>
    <n v="3"/>
    <n v="0.9"/>
    <s v="Externo"/>
    <x v="0"/>
    <x v="1"/>
    <x v="0"/>
  </r>
  <r>
    <n v="12"/>
    <n v="130"/>
    <n v="2"/>
    <n v="0.7"/>
    <s v="Externo"/>
    <x v="1"/>
    <x v="0"/>
    <x v="0"/>
  </r>
  <r>
    <n v="13"/>
    <n v="125"/>
    <n v="3"/>
    <n v="0.6"/>
    <s v="Interno"/>
    <x v="3"/>
    <x v="0"/>
    <x v="0"/>
  </r>
  <r>
    <n v="14"/>
    <n v="200"/>
    <n v="9"/>
    <n v="3"/>
    <s v="Externo"/>
    <x v="0"/>
    <x v="1"/>
    <x v="0"/>
  </r>
  <r>
    <n v="15"/>
    <n v="210"/>
    <n v="10"/>
    <n v="3.2"/>
    <s v="Interno"/>
    <x v="1"/>
    <x v="0"/>
    <x v="1"/>
  </r>
  <r>
    <n v="16"/>
    <n v="190"/>
    <n v="8"/>
    <n v="2.8"/>
    <s v="Externo"/>
    <x v="2"/>
    <x v="2"/>
    <x v="0"/>
  </r>
  <r>
    <n v="17"/>
    <n v="185"/>
    <n v="7"/>
    <n v="2.4"/>
    <s v="Interno"/>
    <x v="0"/>
    <x v="1"/>
    <x v="0"/>
  </r>
  <r>
    <n v="18"/>
    <n v="220"/>
    <n v="11"/>
    <n v="3.5"/>
    <s v="Externo"/>
    <x v="3"/>
    <x v="0"/>
    <x v="1"/>
  </r>
  <r>
    <n v="19"/>
    <n v="230"/>
    <n v="12"/>
    <n v="3.8"/>
    <s v="Interno"/>
    <x v="0"/>
    <x v="2"/>
    <x v="0"/>
  </r>
  <r>
    <n v="20"/>
    <n v="240"/>
    <n v="10"/>
    <n v="4"/>
    <s v="Externo"/>
    <x v="1"/>
    <x v="1"/>
    <x v="0"/>
  </r>
  <r>
    <n v="21"/>
    <n v="250"/>
    <n v="9"/>
    <n v="4.2"/>
    <s v="Externo"/>
    <x v="2"/>
    <x v="0"/>
    <x v="1"/>
  </r>
  <r>
    <n v="22"/>
    <n v="260"/>
    <n v="11"/>
    <n v="4.5"/>
    <s v="Externo"/>
    <x v="0"/>
    <x v="2"/>
    <x v="0"/>
  </r>
  <r>
    <n v="23"/>
    <n v="270"/>
    <n v="12"/>
    <n v="4.8"/>
    <s v="Interno"/>
    <x v="1"/>
    <x v="1"/>
    <x v="0"/>
  </r>
  <r>
    <n v="24"/>
    <n v="300"/>
    <n v="13"/>
    <n v="5"/>
    <s v="Externo"/>
    <x v="3"/>
    <x v="0"/>
    <x v="1"/>
  </r>
  <r>
    <n v="25"/>
    <n v="310"/>
    <n v="14"/>
    <n v="5.5"/>
    <s v="Interno"/>
    <x v="0"/>
    <x v="0"/>
    <x v="0"/>
  </r>
  <r>
    <n v="26"/>
    <n v="320"/>
    <n v="13"/>
    <n v="5.8"/>
    <s v="Externo"/>
    <x v="1"/>
    <x v="1"/>
    <x v="0"/>
  </r>
  <r>
    <n v="27"/>
    <n v="330"/>
    <n v="15"/>
    <n v="6"/>
    <s v="Interno"/>
    <x v="2"/>
    <x v="0"/>
    <x v="1"/>
  </r>
  <r>
    <n v="28"/>
    <n v="340"/>
    <n v="14"/>
    <n v="6.2"/>
    <s v="Externo"/>
    <x v="0"/>
    <x v="2"/>
    <x v="0"/>
  </r>
  <r>
    <n v="29"/>
    <n v="350"/>
    <n v="16"/>
    <n v="6.5"/>
    <s v="Interno"/>
    <x v="3"/>
    <x v="1"/>
    <x v="1"/>
  </r>
  <r>
    <n v="30"/>
    <n v="400"/>
    <n v="18"/>
    <n v="7"/>
    <s v="Externo"/>
    <x v="0"/>
    <x v="0"/>
    <x v="1"/>
  </r>
  <r>
    <n v="31"/>
    <n v="115"/>
    <n v="2"/>
    <n v="0.5"/>
    <s v="Interno"/>
    <x v="1"/>
    <x v="0"/>
    <x v="0"/>
  </r>
  <r>
    <n v="32"/>
    <n v="118"/>
    <n v="3"/>
    <n v="0.6"/>
    <s v="Externo"/>
    <x v="2"/>
    <x v="1"/>
    <x v="0"/>
  </r>
  <r>
    <n v="33"/>
    <n v="122"/>
    <n v="4"/>
    <n v="0.7"/>
    <s v="Interno"/>
    <x v="0"/>
    <x v="0"/>
    <x v="0"/>
  </r>
  <r>
    <n v="34"/>
    <n v="128"/>
    <n v="2"/>
    <n v="0.8"/>
    <s v="Externo"/>
    <x v="1"/>
    <x v="2"/>
    <x v="0"/>
  </r>
  <r>
    <n v="35"/>
    <n v="132"/>
    <n v="3"/>
    <n v="0.9"/>
    <s v="Interno"/>
    <x v="3"/>
    <x v="1"/>
    <x v="0"/>
  </r>
  <r>
    <n v="36"/>
    <n v="138"/>
    <n v="4"/>
    <n v="1"/>
    <s v="Externo"/>
    <x v="0"/>
    <x v="0"/>
    <x v="1"/>
  </r>
  <r>
    <n v="37"/>
    <n v="142"/>
    <n v="5"/>
    <n v="1.1000000000000001"/>
    <s v="Interno"/>
    <x v="1"/>
    <x v="0"/>
    <x v="0"/>
  </r>
  <r>
    <n v="38"/>
    <n v="148"/>
    <n v="6"/>
    <n v="1.2"/>
    <s v="Externo"/>
    <x v="2"/>
    <x v="1"/>
    <x v="0"/>
  </r>
  <r>
    <n v="39"/>
    <n v="152"/>
    <n v="5"/>
    <n v="1.3"/>
    <s v="Interno"/>
    <x v="0"/>
    <x v="0"/>
    <x v="0"/>
  </r>
  <r>
    <n v="40"/>
    <n v="158"/>
    <n v="4"/>
    <n v="1.4"/>
    <s v="Externo"/>
    <x v="1"/>
    <x v="2"/>
    <x v="1"/>
  </r>
  <r>
    <n v="41"/>
    <n v="162"/>
    <n v="6"/>
    <n v="1.6"/>
    <s v="Interno"/>
    <x v="3"/>
    <x v="1"/>
    <x v="0"/>
  </r>
  <r>
    <n v="42"/>
    <n v="168"/>
    <n v="7"/>
    <n v="1.7"/>
    <s v="Externo"/>
    <x v="0"/>
    <x v="0"/>
    <x v="0"/>
  </r>
  <r>
    <n v="43"/>
    <n v="172"/>
    <n v="8"/>
    <n v="1.8"/>
    <s v="Interno"/>
    <x v="1"/>
    <x v="2"/>
    <x v="0"/>
  </r>
  <r>
    <n v="44"/>
    <n v="178"/>
    <n v="7"/>
    <n v="1.9"/>
    <s v="Externo"/>
    <x v="2"/>
    <x v="1"/>
    <x v="1"/>
  </r>
  <r>
    <n v="45"/>
    <n v="182"/>
    <n v="6"/>
    <n v="2"/>
    <s v="Interno"/>
    <x v="0"/>
    <x v="0"/>
    <x v="0"/>
  </r>
  <r>
    <n v="46"/>
    <n v="188"/>
    <n v="8"/>
    <n v="2.2000000000000002"/>
    <s v="Externo"/>
    <x v="1"/>
    <x v="2"/>
    <x v="0"/>
  </r>
  <r>
    <n v="47"/>
    <n v="192"/>
    <n v="9"/>
    <n v="2.5"/>
    <s v="Interno"/>
    <x v="3"/>
    <x v="1"/>
    <x v="1"/>
  </r>
  <r>
    <n v="48"/>
    <n v="198"/>
    <n v="7"/>
    <n v="2.7"/>
    <s v="Externo"/>
    <x v="0"/>
    <x v="0"/>
    <x v="0"/>
  </r>
  <r>
    <n v="49"/>
    <n v="205"/>
    <n v="10"/>
    <n v="3"/>
    <s v="Interno"/>
    <x v="1"/>
    <x v="2"/>
    <x v="0"/>
  </r>
  <r>
    <n v="50"/>
    <n v="215"/>
    <n v="11"/>
    <n v="3.3"/>
    <s v="Externo"/>
    <x v="2"/>
    <x v="1"/>
    <x v="1"/>
  </r>
  <r>
    <n v="51"/>
    <n v="225"/>
    <n v="12"/>
    <n v="3.6"/>
    <s v="Interno"/>
    <x v="0"/>
    <x v="0"/>
    <x v="0"/>
  </r>
  <r>
    <n v="52"/>
    <n v="235"/>
    <n v="13"/>
    <n v="3.9"/>
    <s v="Externo"/>
    <x v="1"/>
    <x v="2"/>
    <x v="0"/>
  </r>
  <r>
    <n v="53"/>
    <n v="245"/>
    <n v="11"/>
    <n v="4.0999999999999996"/>
    <s v="Interno"/>
    <x v="3"/>
    <x v="1"/>
    <x v="1"/>
  </r>
  <r>
    <n v="54"/>
    <n v="255"/>
    <n v="10"/>
    <n v="4.3"/>
    <s v="Externo"/>
    <x v="0"/>
    <x v="0"/>
    <x v="0"/>
  </r>
  <r>
    <n v="55"/>
    <n v="265"/>
    <n v="12"/>
    <n v="4.5999999999999996"/>
    <s v="Interno"/>
    <x v="1"/>
    <x v="2"/>
    <x v="1"/>
  </r>
  <r>
    <n v="56"/>
    <n v="275"/>
    <n v="13"/>
    <n v="4.9000000000000004"/>
    <s v="Externo"/>
    <x v="2"/>
    <x v="1"/>
    <x v="0"/>
  </r>
  <r>
    <n v="57"/>
    <n v="285"/>
    <n v="14"/>
    <n v="5.2"/>
    <s v="Interno"/>
    <x v="0"/>
    <x v="0"/>
    <x v="1"/>
  </r>
  <r>
    <n v="58"/>
    <n v="295"/>
    <n v="13"/>
    <n v="5.4"/>
    <s v="Externo"/>
    <x v="1"/>
    <x v="2"/>
    <x v="0"/>
  </r>
  <r>
    <n v="59"/>
    <n v="305"/>
    <n v="15"/>
    <n v="5.7"/>
    <s v="Interno"/>
    <x v="3"/>
    <x v="1"/>
    <x v="1"/>
  </r>
  <r>
    <n v="60"/>
    <n v="315"/>
    <n v="14"/>
    <n v="6"/>
    <s v="Externo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D6CF6-A735-424C-89A1-4135EC18ADE6}" name="Tabela dinâmica16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ioridades">
  <location ref="A29:B33" firstHeaderRow="1" firstDataRow="1" firstDataCol="1"/>
  <pivotFields count="8"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tatus" fld="7" subtotal="count" showDataAs="percentOfTotal" baseField="6" baseItem="0" numFmtId="10"/>
  </dataFields>
  <formats count="13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20">
      <pivotArea dataOnly="0" labelOnly="1" outline="0" axis="axisValues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6" type="button" dataOnly="0" labelOnly="1" outline="0" axis="axisRow" fieldPosition="0"/>
    </format>
    <format dxfId="24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696FE-8BE0-4464-BDC4-2BE91AC1C4B9}" name="Tabela dinâmica13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s de Usuários">
  <location ref="A24:B27" firstHeaderRow="1" firstDataRow="1" firstDataCol="1"/>
  <pivotFields count="8"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Média de Tempo_Resposta_ms" fld="1" subtotal="average" baseField="4" baseItem="0"/>
  </dataFields>
  <formats count="3">
    <format dxfId="27">
      <pivotArea collapsedLevelsAreSubtotals="1" fieldPosition="0">
        <references count="1">
          <reference field="4" count="0"/>
        </references>
      </pivotArea>
    </format>
    <format dxfId="28">
      <pivotArea grandRow="1"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0D453-53CD-4006-BA8B-D1E3AAD2F39F}" name="Tabela dinâmica10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ões">
  <location ref="A17:B22" firstHeaderRow="1" firstDataRow="1" firstDataCol="1"/>
  <pivotFields count="8">
    <pivotField showAll="0"/>
    <pivotField dataField="1"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Tempo_Resposta_ms" fld="1" subtotal="average" baseField="5" baseItem="0"/>
  </dataFields>
  <formats count="13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0"/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27E52-3447-4DA8-A15E-1FE67D777079}" name="Tabela dinâmica7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s de usuario">
  <location ref="A12:C15" firstHeaderRow="0" firstDataRow="1" firstDataCol="1"/>
  <pivotFields count="8">
    <pivotField showAll="0"/>
    <pivotField dataFiel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Tipo_Usuario" fld="4" subtotal="count" baseField="0" baseItem="0"/>
    <dataField name="Média de Tempo_Resposta_ms" fld="1" subtotal="average" baseField="4" baseItem="0"/>
  </dataFields>
  <formats count="13"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7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20598-30D1-4C5E-A133-9C4AA16CD70F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ões">
  <location ref="A3:D9" firstHeaderRow="1" firstDataRow="2" firstDataCol="1"/>
  <pivotFields count="8"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agem de Regiao" fld="5" subtotal="count" baseField="0" baseItem="0"/>
  </dataFields>
  <formats count="10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7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7" count="0"/>
        </references>
      </pivotArea>
    </format>
    <format dxfId="5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6BEF2-2551-46E7-AE50-4A4C60DCE74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empo Resposta">
  <location ref="A3:D13" firstHeaderRow="0" firstDataRow="1" firstDataCol="1"/>
  <pivotFields count="8">
    <pivotField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7">
        <item x="30"/>
        <item x="12"/>
        <item x="11"/>
        <item x="1"/>
        <item x="10"/>
        <item x="9"/>
        <item x="4"/>
        <item x="0"/>
        <item x="5"/>
        <item x="31"/>
        <item x="2"/>
        <item x="32"/>
        <item x="33"/>
        <item x="8"/>
        <item x="34"/>
        <item x="3"/>
        <item x="7"/>
        <item x="16"/>
        <item x="6"/>
        <item x="35"/>
        <item x="15"/>
        <item x="13"/>
        <item x="14"/>
        <item x="36"/>
        <item x="17"/>
        <item x="37"/>
        <item x="18"/>
        <item x="38"/>
        <item x="19"/>
        <item x="39"/>
        <item x="20"/>
        <item x="40"/>
        <item x="21"/>
        <item x="41"/>
        <item x="22"/>
        <item x="42"/>
        <item x="23"/>
        <item x="43"/>
        <item x="44"/>
        <item x="24"/>
        <item x="45"/>
        <item x="25"/>
        <item x="26"/>
        <item x="27"/>
        <item x="28"/>
        <item x="29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1" subtotal="count" baseField="1" baseItem="0"/>
    <dataField name="F%" fld="1" subtotal="count" showDataAs="percentOfTotal" baseField="1" baseItem="0" numFmtId="10"/>
    <dataField name="FA" fld="1" subtotal="count" baseField="0" baseItem="0"/>
  </dataFields>
  <formats count="5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9BF07-BDDB-4534-AE0C-088EC7028C3F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quisição por Sessão">
  <location ref="A3:D20" firstHeaderRow="0" firstDataRow="1" firstDataCol="1"/>
  <pivotFields count="8">
    <pivotField showAll="0"/>
    <pivotField showAll="0"/>
    <pivotField axis="axisRow" dataField="1" showAll="0">
      <items count="17">
        <item x="6"/>
        <item x="1"/>
        <item x="3"/>
        <item x="0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2" subtotal="count" baseField="2" baseItem="0"/>
    <dataField name="F%" fld="2" subtotal="count" showDataAs="percentOfTotal" baseField="2" baseItem="0" numFmtId="10"/>
    <dataField name="FA" fld="2" subtotal="count" showDataAs="runTotal" baseField="2" baseItem="0"/>
  </dataFields>
  <formats count="11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5" type="button" dataOnly="0" labelOnly="1" outline="0"/>
    </format>
    <format dxfId="108">
      <pivotArea dataOnly="0" labelOnly="1" grandRow="1" outline="0" fieldPosition="0"/>
    </format>
    <format dxfId="1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5" type="button" dataOnly="0" labelOnly="1" outline="0"/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16522-CBC0-4805-A711-F81BE2F8A4C7}" name="Tabela dinâmica2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amanho Mb">
  <location ref="A3:D11" firstHeaderRow="0" firstDataRow="1" firstDataCol="1"/>
  <pivotFields count="8">
    <pivotField showAll="0"/>
    <pivotField showAll="0"/>
    <pivotField showAll="0"/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3" subtotal="count" baseField="3" baseItem="1"/>
    <dataField name="F%" fld="3" subtotal="count" showDataAs="percentOfTotal" baseField="3" baseItem="1" numFmtId="10"/>
    <dataField name="FA" fld="3" subtotal="count" showDataAs="runTotal" baseField="3" baseItem="1"/>
  </dataFields>
  <formats count="12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" type="button" dataOnly="0" labelOnly="1" outline="0" axis="axisRow" fieldPosition="0"/>
    </format>
    <format dxfId="97">
      <pivotArea dataOnly="0" labelOnly="1" fieldPosition="0">
        <references count="1">
          <reference field="3" count="7">
            <x v="1"/>
            <x v="2"/>
            <x v="3"/>
            <x v="4"/>
            <x v="5"/>
            <x v="6"/>
            <x v="7"/>
          </reference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3" type="button" dataOnly="0" labelOnly="1" outline="0" axis="axisRow" fieldPosition="0"/>
    </format>
    <format dxfId="91">
      <pivotArea dataOnly="0" labelOnly="1" fieldPosition="0">
        <references count="1">
          <reference field="3" count="7">
            <x v="1"/>
            <x v="2"/>
            <x v="3"/>
            <x v="4"/>
            <x v="5"/>
            <x v="6"/>
            <x v="7"/>
          </reference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CD6D2-190F-4CD1-BCD7-1378B9688E1F}" name="Tabela dinâmica2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Usuário">
  <location ref="A3:D6" firstHeaderRow="0" firstDataRow="1" firstDataCol="1"/>
  <pivotFields count="8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4" subtotal="count" baseField="4" baseItem="0"/>
    <dataField name="F%" fld="4" subtotal="count" showDataAs="percentOfTotal" baseField="4" baseItem="0" numFmtId="10"/>
    <dataField name="FA" fld="4" subtotal="count" showDataAs="runTotal" baseField="4" baseItem="0"/>
  </dataFields>
  <formats count="6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4" type="button" dataOnly="0" labelOnly="1" outline="0" axis="axisRow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DD972-7C08-484F-BF4D-38B843994521}" name="Tabela dinâmica4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ão">
  <location ref="A3:D8" firstHeaderRow="0" firstDataRow="1" firstDataCol="1"/>
  <pivotFields count="8"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5" subtotal="count" baseField="5" baseItem="0"/>
    <dataField name="F%" fld="5" subtotal="count" showDataAs="percentOfTotal" baseField="5" baseItem="0" numFmtId="10"/>
    <dataField name="FA" fld="5" subtotal="count" showDataAs="runTotal" baseField="5" baseItem="0"/>
  </dataFields>
  <formats count="6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5" type="button" dataOnly="0" labelOnly="1" outline="0" axis="axisRow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8C7CA-0BF4-4F9F-A7C1-447EAA1A8214}" name="Tabela dinâmica4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ioridade">
  <location ref="A3:D7" firstHeaderRow="0" firstDataRow="1" firstDataCol="1"/>
  <pivotFields count="8"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6" subtotal="count" baseField="6" baseItem="0"/>
    <dataField name="F%" fld="6" subtotal="count" showDataAs="percentOfTotal" baseField="6" baseItem="0" numFmtId="10"/>
    <dataField name="FA" fld="6" subtotal="count" showDataAs="runTotal" baseField="6" baseItem="0"/>
  </dataFields>
  <formats count="6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6" type="button" dataOnly="0" labelOnly="1" outline="0" axis="axisRow" fieldPosition="0"/>
    </format>
    <format dxfId="73">
      <pivotArea dataOnly="0" labelOnly="1" fieldPosition="0">
        <references count="1">
          <reference field="6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B8CD7-1EBF-4D0C-BC36-A5E1722D2E3F}" name="Tabela dinâmica5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A3:D6" firstHeaderRow="0" firstDataRow="1" firstDataCol="1"/>
  <pivotFields count="8"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7" subtotal="count" baseField="7" baseItem="0"/>
    <dataField name="F%" fld="7" subtotal="count" showDataAs="percentOfTotal" baseField="7" baseItem="0" numFmtId="10"/>
    <dataField name="FA" fld="7" subtotal="count" showDataAs="runTotal" baseField="7" baseItem="0"/>
  </dataFields>
  <formats count="6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7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DA32-6DE7-41D2-BAC8-E65CF58AC99E}">
  <dimension ref="A3:D33"/>
  <sheetViews>
    <sheetView topLeftCell="A16" workbookViewId="0">
      <selection activeCell="A29" sqref="A29"/>
    </sheetView>
  </sheetViews>
  <sheetFormatPr defaultRowHeight="14.5" x14ac:dyDescent="0.35"/>
  <cols>
    <col min="1" max="1" width="14.90625" bestFit="1" customWidth="1"/>
    <col min="2" max="2" width="29" customWidth="1"/>
    <col min="3" max="3" width="27.36328125" customWidth="1"/>
    <col min="4" max="4" width="16.7265625" customWidth="1"/>
  </cols>
  <sheetData>
    <row r="3" spans="1:4" x14ac:dyDescent="0.35">
      <c r="A3" s="8" t="s">
        <v>59</v>
      </c>
      <c r="B3" s="8" t="s">
        <v>58</v>
      </c>
      <c r="C3" s="1"/>
      <c r="D3" s="1"/>
    </row>
    <row r="4" spans="1:4" x14ac:dyDescent="0.35">
      <c r="A4" s="8" t="s">
        <v>60</v>
      </c>
      <c r="B4" s="1" t="s">
        <v>17</v>
      </c>
      <c r="C4" s="1" t="s">
        <v>11</v>
      </c>
      <c r="D4" s="1" t="s">
        <v>24</v>
      </c>
    </row>
    <row r="5" spans="1:4" x14ac:dyDescent="0.35">
      <c r="A5" s="1" t="s">
        <v>15</v>
      </c>
      <c r="B5" s="9">
        <v>5</v>
      </c>
      <c r="C5" s="9">
        <v>5</v>
      </c>
      <c r="D5" s="9">
        <v>10</v>
      </c>
    </row>
    <row r="6" spans="1:4" x14ac:dyDescent="0.35">
      <c r="A6" s="1" t="s">
        <v>18</v>
      </c>
      <c r="B6" s="9">
        <v>6</v>
      </c>
      <c r="C6" s="9">
        <v>4</v>
      </c>
      <c r="D6" s="9">
        <v>10</v>
      </c>
    </row>
    <row r="7" spans="1:4" x14ac:dyDescent="0.35">
      <c r="A7" s="1" t="s">
        <v>9</v>
      </c>
      <c r="B7" s="9">
        <v>4</v>
      </c>
      <c r="C7" s="9">
        <v>18</v>
      </c>
      <c r="D7" s="9">
        <v>22</v>
      </c>
    </row>
    <row r="8" spans="1:4" x14ac:dyDescent="0.35">
      <c r="A8" s="1" t="s">
        <v>13</v>
      </c>
      <c r="B8" s="9">
        <v>3</v>
      </c>
      <c r="C8" s="9">
        <v>15</v>
      </c>
      <c r="D8" s="9">
        <v>18</v>
      </c>
    </row>
    <row r="9" spans="1:4" x14ac:dyDescent="0.35">
      <c r="A9" s="1" t="s">
        <v>24</v>
      </c>
      <c r="B9" s="9">
        <v>18</v>
      </c>
      <c r="C9" s="9">
        <v>42</v>
      </c>
      <c r="D9" s="9">
        <v>60</v>
      </c>
    </row>
    <row r="12" spans="1:4" x14ac:dyDescent="0.35">
      <c r="A12" s="14" t="s">
        <v>62</v>
      </c>
      <c r="B12" s="15" t="s">
        <v>61</v>
      </c>
      <c r="C12" s="15" t="s">
        <v>63</v>
      </c>
    </row>
    <row r="13" spans="1:4" x14ac:dyDescent="0.35">
      <c r="A13" s="15" t="s">
        <v>12</v>
      </c>
      <c r="B13" s="16">
        <v>33</v>
      </c>
      <c r="C13" s="42">
        <v>209.60606060606059</v>
      </c>
    </row>
    <row r="14" spans="1:4" x14ac:dyDescent="0.35">
      <c r="A14" s="15" t="s">
        <v>8</v>
      </c>
      <c r="B14" s="16">
        <v>27</v>
      </c>
      <c r="C14" s="42">
        <v>205.59259259259258</v>
      </c>
    </row>
    <row r="15" spans="1:4" x14ac:dyDescent="0.35">
      <c r="A15" s="15" t="s">
        <v>24</v>
      </c>
      <c r="B15" s="16">
        <v>60</v>
      </c>
      <c r="C15" s="16">
        <v>207.8</v>
      </c>
    </row>
    <row r="17" spans="1:2" x14ac:dyDescent="0.35">
      <c r="A17" s="14" t="s">
        <v>60</v>
      </c>
      <c r="B17" s="15" t="s">
        <v>63</v>
      </c>
    </row>
    <row r="18" spans="1:2" x14ac:dyDescent="0.35">
      <c r="A18" s="15" t="s">
        <v>15</v>
      </c>
      <c r="B18" s="42">
        <v>201.9</v>
      </c>
    </row>
    <row r="19" spans="1:2" x14ac:dyDescent="0.35">
      <c r="A19" s="15" t="s">
        <v>18</v>
      </c>
      <c r="B19" s="42">
        <v>220.1</v>
      </c>
    </row>
    <row r="20" spans="1:2" x14ac:dyDescent="0.35">
      <c r="A20" s="15" t="s">
        <v>9</v>
      </c>
      <c r="B20" s="42">
        <v>214.54545454545453</v>
      </c>
    </row>
    <row r="21" spans="1:2" x14ac:dyDescent="0.35">
      <c r="A21" s="15" t="s">
        <v>13</v>
      </c>
      <c r="B21" s="42">
        <v>196</v>
      </c>
    </row>
    <row r="22" spans="1:2" x14ac:dyDescent="0.35">
      <c r="A22" s="15" t="s">
        <v>24</v>
      </c>
      <c r="B22" s="16">
        <v>207.8</v>
      </c>
    </row>
    <row r="24" spans="1:2" x14ac:dyDescent="0.35">
      <c r="A24" s="40" t="s">
        <v>66</v>
      </c>
      <c r="B24" s="1" t="s">
        <v>63</v>
      </c>
    </row>
    <row r="25" spans="1:2" x14ac:dyDescent="0.35">
      <c r="A25" s="41" t="s">
        <v>12</v>
      </c>
      <c r="B25" s="43">
        <v>209.60606060606059</v>
      </c>
    </row>
    <row r="26" spans="1:2" x14ac:dyDescent="0.35">
      <c r="A26" s="41" t="s">
        <v>8</v>
      </c>
      <c r="B26" s="43">
        <v>205.59259259259258</v>
      </c>
    </row>
    <row r="27" spans="1:2" x14ac:dyDescent="0.35">
      <c r="A27" s="41" t="s">
        <v>24</v>
      </c>
      <c r="B27" s="43">
        <v>207.8</v>
      </c>
    </row>
    <row r="29" spans="1:2" x14ac:dyDescent="0.35">
      <c r="A29" s="14" t="s">
        <v>65</v>
      </c>
      <c r="B29" s="15" t="s">
        <v>64</v>
      </c>
    </row>
    <row r="30" spans="1:2" x14ac:dyDescent="0.35">
      <c r="A30" s="15" t="s">
        <v>10</v>
      </c>
      <c r="B30" s="17">
        <v>0.25</v>
      </c>
    </row>
    <row r="31" spans="1:2" x14ac:dyDescent="0.35">
      <c r="A31" s="15" t="s">
        <v>16</v>
      </c>
      <c r="B31" s="17">
        <v>0.41666666666666669</v>
      </c>
    </row>
    <row r="32" spans="1:2" x14ac:dyDescent="0.35">
      <c r="A32" s="15" t="s">
        <v>14</v>
      </c>
      <c r="B32" s="17">
        <v>0.33333333333333331</v>
      </c>
    </row>
    <row r="33" spans="1:2" x14ac:dyDescent="0.35">
      <c r="A33" s="15" t="s">
        <v>24</v>
      </c>
      <c r="B33" s="17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66"/>
  <sheetViews>
    <sheetView tabSelected="1" topLeftCell="A114" zoomScale="90" zoomScaleNormal="90" workbookViewId="0">
      <selection activeCell="G2" sqref="G2"/>
    </sheetView>
  </sheetViews>
  <sheetFormatPr defaultRowHeight="14.5" x14ac:dyDescent="0.35"/>
  <cols>
    <col min="2" max="2" width="18.81640625" bestFit="1" customWidth="1"/>
    <col min="3" max="3" width="21.453125" bestFit="1" customWidth="1"/>
    <col min="4" max="4" width="12.54296875" bestFit="1" customWidth="1"/>
    <col min="5" max="5" width="11.81640625" bestFit="1" customWidth="1"/>
    <col min="6" max="6" width="8.453125" bestFit="1" customWidth="1"/>
    <col min="7" max="7" width="9.453125" bestFit="1" customWidth="1"/>
    <col min="8" max="8" width="7.453125" bestFit="1" customWidth="1"/>
    <col min="11" max="11" width="13.54296875" customWidth="1"/>
    <col min="12" max="12" width="20.453125" customWidth="1"/>
    <col min="16" max="17" width="9.453125" customWidth="1"/>
    <col min="19" max="19" width="9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</v>
      </c>
      <c r="B2" s="1">
        <v>120</v>
      </c>
      <c r="C2" s="1">
        <v>5</v>
      </c>
      <c r="D2" s="1">
        <v>1.2</v>
      </c>
      <c r="E2" s="1" t="s">
        <v>12</v>
      </c>
      <c r="F2" s="1" t="s">
        <v>9</v>
      </c>
      <c r="G2" s="1" t="s">
        <v>16</v>
      </c>
      <c r="H2" s="1" t="s">
        <v>11</v>
      </c>
    </row>
    <row r="3" spans="1:8" x14ac:dyDescent="0.35">
      <c r="A3" s="1">
        <v>2</v>
      </c>
      <c r="B3" s="1">
        <v>135</v>
      </c>
      <c r="C3" s="1">
        <v>3</v>
      </c>
      <c r="D3" s="1">
        <v>0.8</v>
      </c>
      <c r="E3" s="1" t="s">
        <v>12</v>
      </c>
      <c r="F3" s="1" t="s">
        <v>13</v>
      </c>
      <c r="G3" s="1" t="s">
        <v>14</v>
      </c>
      <c r="H3" s="1" t="s">
        <v>11</v>
      </c>
    </row>
    <row r="4" spans="1:8" x14ac:dyDescent="0.35">
      <c r="A4" s="1">
        <v>3</v>
      </c>
      <c r="B4" s="1">
        <v>150</v>
      </c>
      <c r="C4" s="1">
        <v>6</v>
      </c>
      <c r="D4" s="1">
        <v>1.5</v>
      </c>
      <c r="E4" s="1" t="s">
        <v>8</v>
      </c>
      <c r="F4" s="1" t="s">
        <v>15</v>
      </c>
      <c r="G4" s="1" t="s">
        <v>16</v>
      </c>
      <c r="H4" s="1" t="s">
        <v>11</v>
      </c>
    </row>
    <row r="5" spans="1:8" x14ac:dyDescent="0.35">
      <c r="A5" s="1">
        <v>4</v>
      </c>
      <c r="B5" s="1">
        <v>160</v>
      </c>
      <c r="C5" s="1">
        <v>4</v>
      </c>
      <c r="D5" s="1">
        <v>2</v>
      </c>
      <c r="E5" s="1" t="s">
        <v>12</v>
      </c>
      <c r="F5" s="1" t="s">
        <v>9</v>
      </c>
      <c r="G5" s="1" t="s">
        <v>10</v>
      </c>
      <c r="H5" s="1" t="s">
        <v>11</v>
      </c>
    </row>
    <row r="6" spans="1:8" x14ac:dyDescent="0.35">
      <c r="A6" s="1">
        <v>5</v>
      </c>
      <c r="B6" s="1">
        <v>145</v>
      </c>
      <c r="C6" s="1">
        <v>7</v>
      </c>
      <c r="D6" s="1">
        <v>1.1000000000000001</v>
      </c>
      <c r="E6" s="1" t="s">
        <v>8</v>
      </c>
      <c r="F6" s="1" t="s">
        <v>13</v>
      </c>
      <c r="G6" s="1" t="s">
        <v>14</v>
      </c>
      <c r="H6" s="1" t="s">
        <v>11</v>
      </c>
    </row>
    <row r="7" spans="1:8" x14ac:dyDescent="0.35">
      <c r="A7" s="1">
        <v>6</v>
      </c>
      <c r="B7" s="1">
        <v>155</v>
      </c>
      <c r="C7" s="1">
        <v>5</v>
      </c>
      <c r="D7" s="1">
        <v>1.3</v>
      </c>
      <c r="E7" s="1" t="s">
        <v>12</v>
      </c>
      <c r="F7" s="1" t="s">
        <v>9</v>
      </c>
      <c r="G7" s="1" t="s">
        <v>16</v>
      </c>
      <c r="H7" s="1" t="s">
        <v>17</v>
      </c>
    </row>
    <row r="8" spans="1:8" x14ac:dyDescent="0.35">
      <c r="A8" s="1">
        <v>7</v>
      </c>
      <c r="B8" s="1">
        <v>170</v>
      </c>
      <c r="C8" s="1">
        <v>8</v>
      </c>
      <c r="D8" s="1">
        <v>2.5</v>
      </c>
      <c r="E8" s="1" t="s">
        <v>8</v>
      </c>
      <c r="F8" s="1" t="s">
        <v>18</v>
      </c>
      <c r="G8" s="1" t="s">
        <v>10</v>
      </c>
      <c r="H8" s="1" t="s">
        <v>11</v>
      </c>
    </row>
    <row r="9" spans="1:8" x14ac:dyDescent="0.35">
      <c r="A9" s="1">
        <v>8</v>
      </c>
      <c r="B9" s="1">
        <v>180</v>
      </c>
      <c r="C9" s="1">
        <v>6</v>
      </c>
      <c r="D9" s="1">
        <v>2.2000000000000002</v>
      </c>
      <c r="E9" s="1" t="s">
        <v>12</v>
      </c>
      <c r="F9" s="1" t="s">
        <v>9</v>
      </c>
      <c r="G9" s="1" t="s">
        <v>14</v>
      </c>
      <c r="H9" s="1" t="s">
        <v>11</v>
      </c>
    </row>
    <row r="10" spans="1:8" x14ac:dyDescent="0.35">
      <c r="A10" s="1">
        <v>9</v>
      </c>
      <c r="B10" s="1">
        <v>175</v>
      </c>
      <c r="C10" s="1">
        <v>7</v>
      </c>
      <c r="D10" s="1">
        <v>1.8</v>
      </c>
      <c r="E10" s="1" t="s">
        <v>8</v>
      </c>
      <c r="F10" s="1" t="s">
        <v>13</v>
      </c>
      <c r="G10" s="1" t="s">
        <v>16</v>
      </c>
      <c r="H10" s="1" t="s">
        <v>11</v>
      </c>
    </row>
    <row r="11" spans="1:8" x14ac:dyDescent="0.35">
      <c r="A11" s="1">
        <v>10</v>
      </c>
      <c r="B11" s="1">
        <v>165</v>
      </c>
      <c r="C11" s="1">
        <v>4</v>
      </c>
      <c r="D11" s="1">
        <v>1</v>
      </c>
      <c r="E11" s="1" t="s">
        <v>12</v>
      </c>
      <c r="F11" s="1" t="s">
        <v>15</v>
      </c>
      <c r="G11" s="1" t="s">
        <v>10</v>
      </c>
      <c r="H11" s="1" t="s">
        <v>17</v>
      </c>
    </row>
    <row r="12" spans="1:8" x14ac:dyDescent="0.35">
      <c r="A12" s="1">
        <v>11</v>
      </c>
      <c r="B12" s="1">
        <v>140</v>
      </c>
      <c r="C12" s="1">
        <v>3</v>
      </c>
      <c r="D12" s="1">
        <v>0.9</v>
      </c>
      <c r="E12" s="1" t="s">
        <v>12</v>
      </c>
      <c r="F12" s="1" t="s">
        <v>9</v>
      </c>
      <c r="G12" s="1" t="s">
        <v>14</v>
      </c>
      <c r="H12" s="1" t="s">
        <v>11</v>
      </c>
    </row>
    <row r="13" spans="1:8" x14ac:dyDescent="0.35">
      <c r="A13" s="1">
        <v>12</v>
      </c>
      <c r="B13" s="1">
        <v>130</v>
      </c>
      <c r="C13" s="1">
        <v>2</v>
      </c>
      <c r="D13" s="1">
        <v>0.7</v>
      </c>
      <c r="E13" s="1" t="s">
        <v>12</v>
      </c>
      <c r="F13" s="1" t="s">
        <v>13</v>
      </c>
      <c r="G13" s="1" t="s">
        <v>16</v>
      </c>
      <c r="H13" s="1" t="s">
        <v>11</v>
      </c>
    </row>
    <row r="14" spans="1:8" x14ac:dyDescent="0.35">
      <c r="A14" s="1">
        <v>13</v>
      </c>
      <c r="B14" s="1">
        <v>125</v>
      </c>
      <c r="C14" s="1">
        <v>3</v>
      </c>
      <c r="D14" s="1">
        <v>0.6</v>
      </c>
      <c r="E14" s="1" t="s">
        <v>8</v>
      </c>
      <c r="F14" s="1" t="s">
        <v>18</v>
      </c>
      <c r="G14" s="1" t="s">
        <v>16</v>
      </c>
      <c r="H14" s="1" t="s">
        <v>11</v>
      </c>
    </row>
    <row r="15" spans="1:8" x14ac:dyDescent="0.35">
      <c r="A15" s="1">
        <v>14</v>
      </c>
      <c r="B15" s="1">
        <v>200</v>
      </c>
      <c r="C15" s="1">
        <v>9</v>
      </c>
      <c r="D15" s="1">
        <v>3</v>
      </c>
      <c r="E15" s="1" t="s">
        <v>12</v>
      </c>
      <c r="F15" s="1" t="s">
        <v>9</v>
      </c>
      <c r="G15" s="1" t="s">
        <v>14</v>
      </c>
      <c r="H15" s="1" t="s">
        <v>11</v>
      </c>
    </row>
    <row r="16" spans="1:8" x14ac:dyDescent="0.35">
      <c r="A16" s="1">
        <v>15</v>
      </c>
      <c r="B16" s="1">
        <v>210</v>
      </c>
      <c r="C16" s="1">
        <v>10</v>
      </c>
      <c r="D16" s="1">
        <v>3.2</v>
      </c>
      <c r="E16" s="1" t="s">
        <v>8</v>
      </c>
      <c r="F16" s="1" t="s">
        <v>13</v>
      </c>
      <c r="G16" s="1" t="s">
        <v>16</v>
      </c>
      <c r="H16" s="1" t="s">
        <v>17</v>
      </c>
    </row>
    <row r="17" spans="1:11" x14ac:dyDescent="0.35">
      <c r="A17" s="1">
        <v>16</v>
      </c>
      <c r="B17" s="1">
        <v>190</v>
      </c>
      <c r="C17" s="1">
        <v>8</v>
      </c>
      <c r="D17" s="1">
        <v>2.8</v>
      </c>
      <c r="E17" s="1" t="s">
        <v>12</v>
      </c>
      <c r="F17" s="1" t="s">
        <v>15</v>
      </c>
      <c r="G17" s="1" t="s">
        <v>10</v>
      </c>
      <c r="H17" s="1" t="s">
        <v>11</v>
      </c>
    </row>
    <row r="18" spans="1:11" x14ac:dyDescent="0.35">
      <c r="A18" s="1">
        <v>17</v>
      </c>
      <c r="B18" s="1">
        <v>185</v>
      </c>
      <c r="C18" s="1">
        <v>7</v>
      </c>
      <c r="D18" s="1">
        <v>2.4</v>
      </c>
      <c r="E18" s="1" t="s">
        <v>8</v>
      </c>
      <c r="F18" s="1" t="s">
        <v>9</v>
      </c>
      <c r="G18" s="1" t="s">
        <v>14</v>
      </c>
      <c r="H18" s="1" t="s">
        <v>11</v>
      </c>
    </row>
    <row r="19" spans="1:11" x14ac:dyDescent="0.35">
      <c r="A19" s="1">
        <v>18</v>
      </c>
      <c r="B19" s="1">
        <v>220</v>
      </c>
      <c r="C19" s="1">
        <v>11</v>
      </c>
      <c r="D19" s="1">
        <v>3.5</v>
      </c>
      <c r="E19" s="1" t="s">
        <v>12</v>
      </c>
      <c r="F19" s="1" t="s">
        <v>18</v>
      </c>
      <c r="G19" s="1" t="s">
        <v>16</v>
      </c>
      <c r="H19" s="1" t="s">
        <v>17</v>
      </c>
    </row>
    <row r="20" spans="1:11" x14ac:dyDescent="0.35">
      <c r="A20" s="1">
        <v>19</v>
      </c>
      <c r="B20" s="1">
        <v>230</v>
      </c>
      <c r="C20" s="1">
        <v>12</v>
      </c>
      <c r="D20" s="1">
        <v>3.8</v>
      </c>
      <c r="E20" s="1" t="s">
        <v>8</v>
      </c>
      <c r="F20" s="1" t="s">
        <v>9</v>
      </c>
      <c r="G20" s="1" t="s">
        <v>10</v>
      </c>
      <c r="H20" s="1" t="s">
        <v>11</v>
      </c>
    </row>
    <row r="21" spans="1:11" x14ac:dyDescent="0.35">
      <c r="A21" s="1">
        <v>20</v>
      </c>
      <c r="B21" s="1">
        <v>240</v>
      </c>
      <c r="C21" s="1">
        <v>10</v>
      </c>
      <c r="D21" s="1">
        <v>4</v>
      </c>
      <c r="E21" s="1" t="s">
        <v>12</v>
      </c>
      <c r="F21" s="1" t="s">
        <v>13</v>
      </c>
      <c r="G21" s="1" t="s">
        <v>14</v>
      </c>
      <c r="H21" s="1" t="s">
        <v>11</v>
      </c>
    </row>
    <row r="22" spans="1:11" x14ac:dyDescent="0.35">
      <c r="A22" s="1">
        <v>21</v>
      </c>
      <c r="B22" s="1">
        <v>250</v>
      </c>
      <c r="C22" s="1">
        <v>9</v>
      </c>
      <c r="D22" s="1">
        <v>4.2</v>
      </c>
      <c r="E22" s="1" t="s">
        <v>12</v>
      </c>
      <c r="F22" s="1" t="s">
        <v>15</v>
      </c>
      <c r="G22" s="1" t="s">
        <v>16</v>
      </c>
      <c r="H22" s="1" t="s">
        <v>17</v>
      </c>
    </row>
    <row r="23" spans="1:11" x14ac:dyDescent="0.35">
      <c r="A23" s="1">
        <v>22</v>
      </c>
      <c r="B23" s="1">
        <v>260</v>
      </c>
      <c r="C23" s="1">
        <v>11</v>
      </c>
      <c r="D23" s="1">
        <v>4.5</v>
      </c>
      <c r="E23" s="1" t="s">
        <v>12</v>
      </c>
      <c r="F23" s="1" t="s">
        <v>9</v>
      </c>
      <c r="G23" s="1" t="s">
        <v>10</v>
      </c>
      <c r="H23" s="1" t="s">
        <v>11</v>
      </c>
    </row>
    <row r="24" spans="1:11" x14ac:dyDescent="0.35">
      <c r="A24" s="1">
        <v>23</v>
      </c>
      <c r="B24" s="1">
        <v>270</v>
      </c>
      <c r="C24" s="1">
        <v>12</v>
      </c>
      <c r="D24" s="1">
        <v>4.8</v>
      </c>
      <c r="E24" s="1" t="s">
        <v>8</v>
      </c>
      <c r="F24" s="1" t="s">
        <v>13</v>
      </c>
      <c r="G24" s="1" t="s">
        <v>14</v>
      </c>
      <c r="H24" s="1" t="s">
        <v>11</v>
      </c>
    </row>
    <row r="25" spans="1:11" x14ac:dyDescent="0.35">
      <c r="A25" s="1">
        <v>24</v>
      </c>
      <c r="B25" s="1">
        <v>300</v>
      </c>
      <c r="C25" s="1">
        <v>13</v>
      </c>
      <c r="D25" s="1">
        <v>5</v>
      </c>
      <c r="E25" s="1" t="s">
        <v>12</v>
      </c>
      <c r="F25" s="1" t="s">
        <v>18</v>
      </c>
      <c r="G25" s="1" t="s">
        <v>16</v>
      </c>
      <c r="H25" s="1" t="s">
        <v>17</v>
      </c>
    </row>
    <row r="26" spans="1:11" x14ac:dyDescent="0.35">
      <c r="A26" s="1">
        <v>25</v>
      </c>
      <c r="B26" s="1">
        <v>310</v>
      </c>
      <c r="C26" s="1">
        <v>14</v>
      </c>
      <c r="D26" s="1">
        <v>5.5</v>
      </c>
      <c r="E26" s="1" t="s">
        <v>8</v>
      </c>
      <c r="F26" s="1" t="s">
        <v>9</v>
      </c>
      <c r="G26" s="1" t="s">
        <v>16</v>
      </c>
      <c r="H26" s="1" t="s">
        <v>11</v>
      </c>
    </row>
    <row r="27" spans="1:11" x14ac:dyDescent="0.35">
      <c r="A27" s="1">
        <v>26</v>
      </c>
      <c r="B27" s="1">
        <v>320</v>
      </c>
      <c r="C27" s="1">
        <v>13</v>
      </c>
      <c r="D27" s="1">
        <v>5.8</v>
      </c>
      <c r="E27" s="1" t="s">
        <v>12</v>
      </c>
      <c r="F27" s="1" t="s">
        <v>13</v>
      </c>
      <c r="G27" s="1" t="s">
        <v>14</v>
      </c>
      <c r="H27" s="1" t="s">
        <v>11</v>
      </c>
    </row>
    <row r="28" spans="1:11" x14ac:dyDescent="0.35">
      <c r="A28" s="1">
        <v>27</v>
      </c>
      <c r="B28" s="1">
        <v>330</v>
      </c>
      <c r="C28" s="1">
        <v>15</v>
      </c>
      <c r="D28" s="1">
        <v>6</v>
      </c>
      <c r="E28" s="1" t="s">
        <v>8</v>
      </c>
      <c r="F28" s="1" t="s">
        <v>15</v>
      </c>
      <c r="G28" s="1" t="s">
        <v>16</v>
      </c>
      <c r="H28" s="1" t="s">
        <v>17</v>
      </c>
    </row>
    <row r="29" spans="1:11" x14ac:dyDescent="0.35">
      <c r="A29" s="1">
        <v>28</v>
      </c>
      <c r="B29" s="1">
        <v>340</v>
      </c>
      <c r="C29" s="1">
        <v>14</v>
      </c>
      <c r="D29" s="1">
        <v>6.2</v>
      </c>
      <c r="E29" s="1" t="s">
        <v>12</v>
      </c>
      <c r="F29" s="1" t="s">
        <v>9</v>
      </c>
      <c r="G29" s="1" t="s">
        <v>10</v>
      </c>
      <c r="H29" s="1" t="s">
        <v>11</v>
      </c>
    </row>
    <row r="30" spans="1:11" x14ac:dyDescent="0.35">
      <c r="A30" s="1">
        <v>29</v>
      </c>
      <c r="B30" s="1">
        <v>350</v>
      </c>
      <c r="C30" s="1">
        <v>16</v>
      </c>
      <c r="D30" s="1">
        <v>6.5</v>
      </c>
      <c r="E30" s="1" t="s">
        <v>8</v>
      </c>
      <c r="F30" s="1" t="s">
        <v>18</v>
      </c>
      <c r="G30" s="1" t="s">
        <v>14</v>
      </c>
      <c r="H30" s="1" t="s">
        <v>17</v>
      </c>
    </row>
    <row r="31" spans="1:11" x14ac:dyDescent="0.35">
      <c r="A31" s="1">
        <v>30</v>
      </c>
      <c r="B31" s="1">
        <v>400</v>
      </c>
      <c r="C31" s="1">
        <v>18</v>
      </c>
      <c r="D31" s="1">
        <v>7</v>
      </c>
      <c r="E31" s="1" t="s">
        <v>12</v>
      </c>
      <c r="F31" s="1" t="s">
        <v>9</v>
      </c>
      <c r="G31" s="1" t="s">
        <v>16</v>
      </c>
      <c r="H31" s="1" t="s">
        <v>17</v>
      </c>
    </row>
    <row r="32" spans="1:11" x14ac:dyDescent="0.35">
      <c r="A32" s="1">
        <v>31</v>
      </c>
      <c r="B32" s="1">
        <v>115</v>
      </c>
      <c r="C32" s="1">
        <v>2</v>
      </c>
      <c r="D32" s="1">
        <v>0.5</v>
      </c>
      <c r="E32" s="1" t="s">
        <v>8</v>
      </c>
      <c r="F32" s="1" t="s">
        <v>13</v>
      </c>
      <c r="G32" s="1" t="s">
        <v>16</v>
      </c>
      <c r="H32" s="1" t="s">
        <v>11</v>
      </c>
      <c r="K32" s="2"/>
    </row>
    <row r="33" spans="1:25" x14ac:dyDescent="0.35">
      <c r="A33" s="1">
        <v>32</v>
      </c>
      <c r="B33" s="1">
        <v>118</v>
      </c>
      <c r="C33" s="1">
        <v>3</v>
      </c>
      <c r="D33" s="1">
        <v>0.6</v>
      </c>
      <c r="E33" s="1" t="s">
        <v>12</v>
      </c>
      <c r="F33" s="1" t="s">
        <v>15</v>
      </c>
      <c r="G33" s="1" t="s">
        <v>14</v>
      </c>
      <c r="H33" s="1" t="s">
        <v>11</v>
      </c>
    </row>
    <row r="34" spans="1:25" x14ac:dyDescent="0.35">
      <c r="A34" s="1">
        <v>33</v>
      </c>
      <c r="B34" s="1">
        <v>122</v>
      </c>
      <c r="C34" s="1">
        <v>4</v>
      </c>
      <c r="D34" s="1">
        <v>0.7</v>
      </c>
      <c r="E34" s="1" t="s">
        <v>8</v>
      </c>
      <c r="F34" s="1" t="s">
        <v>9</v>
      </c>
      <c r="G34" s="1" t="s">
        <v>16</v>
      </c>
      <c r="H34" s="1" t="s">
        <v>11</v>
      </c>
    </row>
    <row r="35" spans="1:25" x14ac:dyDescent="0.35">
      <c r="A35" s="1">
        <v>34</v>
      </c>
      <c r="B35" s="1">
        <v>128</v>
      </c>
      <c r="C35" s="1">
        <v>2</v>
      </c>
      <c r="D35" s="1">
        <v>0.8</v>
      </c>
      <c r="E35" s="1" t="s">
        <v>12</v>
      </c>
      <c r="F35" s="1" t="s">
        <v>13</v>
      </c>
      <c r="G35" s="1" t="s">
        <v>10</v>
      </c>
      <c r="H35" s="1" t="s">
        <v>11</v>
      </c>
    </row>
    <row r="36" spans="1:25" x14ac:dyDescent="0.35">
      <c r="A36" s="1">
        <v>35</v>
      </c>
      <c r="B36" s="1">
        <v>132</v>
      </c>
      <c r="C36" s="1">
        <v>3</v>
      </c>
      <c r="D36" s="1">
        <v>0.9</v>
      </c>
      <c r="E36" s="1" t="s">
        <v>8</v>
      </c>
      <c r="F36" s="1" t="s">
        <v>18</v>
      </c>
      <c r="G36" s="1" t="s">
        <v>14</v>
      </c>
      <c r="H36" s="1" t="s">
        <v>11</v>
      </c>
    </row>
    <row r="37" spans="1:25" x14ac:dyDescent="0.35">
      <c r="A37" s="1">
        <v>36</v>
      </c>
      <c r="B37" s="1">
        <v>138</v>
      </c>
      <c r="C37" s="1">
        <v>4</v>
      </c>
      <c r="D37" s="1">
        <v>1</v>
      </c>
      <c r="E37" s="1" t="s">
        <v>12</v>
      </c>
      <c r="F37" s="1" t="s">
        <v>9</v>
      </c>
      <c r="G37" s="1" t="s">
        <v>16</v>
      </c>
      <c r="H37" s="1" t="s">
        <v>17</v>
      </c>
    </row>
    <row r="38" spans="1:25" x14ac:dyDescent="0.35">
      <c r="A38" s="1">
        <v>37</v>
      </c>
      <c r="B38" s="1">
        <v>142</v>
      </c>
      <c r="C38" s="1">
        <v>5</v>
      </c>
      <c r="D38" s="1">
        <v>1.1000000000000001</v>
      </c>
      <c r="E38" s="1" t="s">
        <v>8</v>
      </c>
      <c r="F38" s="1" t="s">
        <v>13</v>
      </c>
      <c r="G38" s="1" t="s">
        <v>16</v>
      </c>
      <c r="H38" s="1" t="s">
        <v>11</v>
      </c>
      <c r="J38" s="5"/>
      <c r="K38" s="5"/>
    </row>
    <row r="39" spans="1:25" x14ac:dyDescent="0.35">
      <c r="A39" s="1">
        <v>38</v>
      </c>
      <c r="B39" s="1">
        <v>148</v>
      </c>
      <c r="C39" s="1">
        <v>6</v>
      </c>
      <c r="D39" s="1">
        <v>1.2</v>
      </c>
      <c r="E39" s="1" t="s">
        <v>12</v>
      </c>
      <c r="F39" s="1" t="s">
        <v>15</v>
      </c>
      <c r="G39" s="1" t="s">
        <v>14</v>
      </c>
      <c r="H39" s="1" t="s">
        <v>11</v>
      </c>
    </row>
    <row r="40" spans="1:25" x14ac:dyDescent="0.35">
      <c r="A40" s="1">
        <v>39</v>
      </c>
      <c r="B40" s="1">
        <v>152</v>
      </c>
      <c r="C40" s="1">
        <v>5</v>
      </c>
      <c r="D40" s="1">
        <v>1.3</v>
      </c>
      <c r="E40" s="1" t="s">
        <v>8</v>
      </c>
      <c r="F40" s="1" t="s">
        <v>9</v>
      </c>
      <c r="G40" s="1" t="s">
        <v>16</v>
      </c>
      <c r="H40" s="1" t="s">
        <v>11</v>
      </c>
      <c r="K40" s="26"/>
    </row>
    <row r="41" spans="1:25" x14ac:dyDescent="0.35">
      <c r="A41" s="1">
        <v>40</v>
      </c>
      <c r="B41" s="1">
        <v>158</v>
      </c>
      <c r="C41" s="1">
        <v>4</v>
      </c>
      <c r="D41" s="1">
        <v>1.4</v>
      </c>
      <c r="E41" s="1" t="s">
        <v>12</v>
      </c>
      <c r="F41" s="1" t="s">
        <v>13</v>
      </c>
      <c r="G41" s="1" t="s">
        <v>10</v>
      </c>
      <c r="H41" s="1" t="s">
        <v>17</v>
      </c>
    </row>
    <row r="42" spans="1:25" x14ac:dyDescent="0.35">
      <c r="A42" s="1">
        <v>41</v>
      </c>
      <c r="B42" s="1">
        <v>162</v>
      </c>
      <c r="C42" s="1">
        <v>6</v>
      </c>
      <c r="D42" s="1">
        <v>1.6</v>
      </c>
      <c r="E42" s="1" t="s">
        <v>8</v>
      </c>
      <c r="F42" s="1" t="s">
        <v>18</v>
      </c>
      <c r="G42" s="1" t="s">
        <v>14</v>
      </c>
      <c r="H42" s="1" t="s">
        <v>11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5">
      <c r="A43" s="1">
        <v>42</v>
      </c>
      <c r="B43" s="1">
        <v>168</v>
      </c>
      <c r="C43" s="1">
        <v>7</v>
      </c>
      <c r="D43" s="1">
        <v>1.7</v>
      </c>
      <c r="E43" s="1" t="s">
        <v>12</v>
      </c>
      <c r="F43" s="1" t="s">
        <v>9</v>
      </c>
      <c r="G43" s="1" t="s">
        <v>16</v>
      </c>
      <c r="H43" s="1" t="s">
        <v>11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5">
      <c r="A44" s="1">
        <v>43</v>
      </c>
      <c r="B44" s="1">
        <v>172</v>
      </c>
      <c r="C44" s="1">
        <v>8</v>
      </c>
      <c r="D44" s="1">
        <v>1.8</v>
      </c>
      <c r="E44" s="1" t="s">
        <v>8</v>
      </c>
      <c r="F44" s="1" t="s">
        <v>13</v>
      </c>
      <c r="G44" s="1" t="s">
        <v>10</v>
      </c>
      <c r="H44" s="1" t="s">
        <v>11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5">
      <c r="A45" s="1">
        <v>44</v>
      </c>
      <c r="B45" s="1">
        <v>178</v>
      </c>
      <c r="C45" s="1">
        <v>7</v>
      </c>
      <c r="D45" s="1">
        <v>1.9</v>
      </c>
      <c r="E45" s="1" t="s">
        <v>12</v>
      </c>
      <c r="F45" s="1" t="s">
        <v>15</v>
      </c>
      <c r="G45" s="1" t="s">
        <v>14</v>
      </c>
      <c r="H45" s="1" t="s">
        <v>17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5">
      <c r="A46" s="1">
        <v>45</v>
      </c>
      <c r="B46" s="1">
        <v>182</v>
      </c>
      <c r="C46" s="1">
        <v>6</v>
      </c>
      <c r="D46" s="1">
        <v>2</v>
      </c>
      <c r="E46" s="1" t="s">
        <v>8</v>
      </c>
      <c r="F46" s="1" t="s">
        <v>9</v>
      </c>
      <c r="G46" s="1" t="s">
        <v>16</v>
      </c>
      <c r="H46" s="1" t="s">
        <v>11</v>
      </c>
    </row>
    <row r="47" spans="1:25" x14ac:dyDescent="0.35">
      <c r="A47" s="1">
        <v>46</v>
      </c>
      <c r="B47" s="1">
        <v>188</v>
      </c>
      <c r="C47" s="1">
        <v>8</v>
      </c>
      <c r="D47" s="1">
        <v>2.2000000000000002</v>
      </c>
      <c r="E47" s="1" t="s">
        <v>12</v>
      </c>
      <c r="F47" s="1" t="s">
        <v>13</v>
      </c>
      <c r="G47" s="1" t="s">
        <v>10</v>
      </c>
      <c r="H47" s="1" t="s">
        <v>11</v>
      </c>
      <c r="J47" s="3">
        <v>1</v>
      </c>
      <c r="N47" s="3">
        <v>4</v>
      </c>
    </row>
    <row r="48" spans="1:25" x14ac:dyDescent="0.35">
      <c r="A48" s="1">
        <v>47</v>
      </c>
      <c r="B48" s="1">
        <v>192</v>
      </c>
      <c r="C48" s="1">
        <v>9</v>
      </c>
      <c r="D48" s="1">
        <v>2.5</v>
      </c>
      <c r="E48" s="1" t="s">
        <v>8</v>
      </c>
      <c r="F48" s="1" t="s">
        <v>18</v>
      </c>
      <c r="G48" s="1" t="s">
        <v>14</v>
      </c>
      <c r="H48" s="1" t="s">
        <v>17</v>
      </c>
    </row>
    <row r="49" spans="1:26" ht="15" thickBot="1" x14ac:dyDescent="0.4">
      <c r="A49" s="1">
        <v>48</v>
      </c>
      <c r="B49" s="1">
        <v>198</v>
      </c>
      <c r="C49" s="1">
        <v>7</v>
      </c>
      <c r="D49" s="1">
        <v>2.7</v>
      </c>
      <c r="E49" s="1" t="s">
        <v>12</v>
      </c>
      <c r="F49" s="1" t="s">
        <v>9</v>
      </c>
      <c r="G49" s="1" t="s">
        <v>16</v>
      </c>
      <c r="H49" s="1" t="s">
        <v>11</v>
      </c>
    </row>
    <row r="50" spans="1:26" ht="15.5" thickTop="1" thickBot="1" x14ac:dyDescent="0.4">
      <c r="A50" s="1">
        <v>49</v>
      </c>
      <c r="B50" s="1">
        <v>205</v>
      </c>
      <c r="C50" s="1">
        <v>10</v>
      </c>
      <c r="D50" s="1">
        <v>3</v>
      </c>
      <c r="E50" s="1" t="s">
        <v>8</v>
      </c>
      <c r="F50" s="1" t="s">
        <v>13</v>
      </c>
      <c r="G50" s="1" t="s">
        <v>10</v>
      </c>
      <c r="H50" s="1" t="s">
        <v>11</v>
      </c>
      <c r="J50" s="30" t="s">
        <v>0</v>
      </c>
      <c r="K50" s="31"/>
      <c r="L50" s="4" t="s">
        <v>21</v>
      </c>
      <c r="N50" s="34" t="s">
        <v>56</v>
      </c>
      <c r="O50" s="34"/>
      <c r="P50" s="34" t="s">
        <v>14</v>
      </c>
      <c r="Q50" s="34"/>
      <c r="R50" s="34" t="s">
        <v>49</v>
      </c>
      <c r="S50" s="34"/>
      <c r="T50" s="34" t="s">
        <v>50</v>
      </c>
      <c r="U50" s="34"/>
      <c r="V50" s="34" t="s">
        <v>51</v>
      </c>
      <c r="W50" s="34"/>
      <c r="X50" s="34" t="s">
        <v>52</v>
      </c>
      <c r="Y50" s="34"/>
      <c r="Z50" s="1" t="s">
        <v>57</v>
      </c>
    </row>
    <row r="51" spans="1:26" ht="15.5" thickTop="1" thickBot="1" x14ac:dyDescent="0.4">
      <c r="A51" s="1">
        <v>50</v>
      </c>
      <c r="B51" s="1">
        <v>215</v>
      </c>
      <c r="C51" s="1">
        <v>11</v>
      </c>
      <c r="D51" s="1">
        <v>3.3</v>
      </c>
      <c r="E51" s="1" t="s">
        <v>12</v>
      </c>
      <c r="F51" s="1" t="s">
        <v>15</v>
      </c>
      <c r="G51" s="1" t="s">
        <v>14</v>
      </c>
      <c r="H51" s="1" t="s">
        <v>17</v>
      </c>
      <c r="J51" s="32" t="s">
        <v>1</v>
      </c>
      <c r="K51" s="33"/>
      <c r="L51" s="6" t="s">
        <v>22</v>
      </c>
      <c r="N51" s="34" t="s">
        <v>53</v>
      </c>
      <c r="O51" s="34"/>
      <c r="P51" s="34">
        <f>AVERAGE(B2:B61)</f>
        <v>207.8</v>
      </c>
      <c r="Q51" s="34"/>
      <c r="R51" s="38" t="e" cm="1">
        <f t="array" ref="R51">_xlfn.MODE.MULT(B2:B61)</f>
        <v>#N/A</v>
      </c>
      <c r="S51" s="39"/>
      <c r="T51" s="34">
        <f>MEDIAN(B2:B61)</f>
        <v>189</v>
      </c>
      <c r="U51" s="34"/>
      <c r="V51" s="35">
        <f>_xlfn.VAR.S(B2:B61)</f>
        <v>4895.2135593220355</v>
      </c>
      <c r="W51" s="35"/>
      <c r="X51" s="35">
        <f>_xlfn.STDEV.S(B2:B61)</f>
        <v>69.965802784803628</v>
      </c>
      <c r="Y51" s="35"/>
      <c r="Z51" s="29">
        <f>X51/P51*100</f>
        <v>33.669779973437741</v>
      </c>
    </row>
    <row r="52" spans="1:26" ht="15.5" thickTop="1" thickBot="1" x14ac:dyDescent="0.4">
      <c r="A52" s="1">
        <v>51</v>
      </c>
      <c r="B52" s="1">
        <v>225</v>
      </c>
      <c r="C52" s="1">
        <v>12</v>
      </c>
      <c r="D52" s="1">
        <v>3.6</v>
      </c>
      <c r="E52" s="1" t="s">
        <v>8</v>
      </c>
      <c r="F52" s="1" t="s">
        <v>9</v>
      </c>
      <c r="G52" s="1" t="s">
        <v>16</v>
      </c>
      <c r="H52" s="1" t="s">
        <v>11</v>
      </c>
      <c r="J52" s="32" t="s">
        <v>2</v>
      </c>
      <c r="K52" s="33"/>
      <c r="L52" s="6" t="s">
        <v>21</v>
      </c>
      <c r="N52" s="34" t="s">
        <v>54</v>
      </c>
      <c r="O52" s="34"/>
      <c r="P52" s="35">
        <f>AVERAGE(C2:C61)</f>
        <v>8.4833333333333325</v>
      </c>
      <c r="Q52" s="35"/>
      <c r="R52" s="34" cm="1">
        <f t="array" ref="R52">_xlfn.MODE.MULT(C2:C61)</f>
        <v>7</v>
      </c>
      <c r="S52" s="34"/>
      <c r="T52" s="34">
        <f>MEDIAN(C2:C61)</f>
        <v>8</v>
      </c>
      <c r="U52" s="34"/>
      <c r="V52" s="35">
        <f>_xlfn.VAR.S(C2:C61)</f>
        <v>17.135310734463282</v>
      </c>
      <c r="W52" s="35"/>
      <c r="X52" s="35">
        <f>_xlfn.STDEV.S(C2:C61)</f>
        <v>4.1394819403475216</v>
      </c>
      <c r="Y52" s="35"/>
      <c r="Z52" s="29">
        <f>X52/P52*100</f>
        <v>48.79546491568788</v>
      </c>
    </row>
    <row r="53" spans="1:26" ht="15.5" thickTop="1" thickBot="1" x14ac:dyDescent="0.4">
      <c r="A53" s="1">
        <v>52</v>
      </c>
      <c r="B53" s="1">
        <v>235</v>
      </c>
      <c r="C53" s="1">
        <v>13</v>
      </c>
      <c r="D53" s="1">
        <v>3.9</v>
      </c>
      <c r="E53" s="1" t="s">
        <v>12</v>
      </c>
      <c r="F53" s="1" t="s">
        <v>13</v>
      </c>
      <c r="G53" s="1" t="s">
        <v>10</v>
      </c>
      <c r="H53" s="1" t="s">
        <v>11</v>
      </c>
      <c r="J53" s="32" t="s">
        <v>3</v>
      </c>
      <c r="K53" s="33"/>
      <c r="L53" s="6" t="s">
        <v>22</v>
      </c>
      <c r="N53" s="34" t="s">
        <v>55</v>
      </c>
      <c r="O53" s="34"/>
      <c r="P53" s="35">
        <f>AVERAGE(D2:D61)</f>
        <v>2.9283333333333332</v>
      </c>
      <c r="Q53" s="35"/>
      <c r="R53" s="27" cm="1">
        <f t="array" ref="R53:R66">_xlfn.MODE.MULT(D2:D61)</f>
        <v>1.2</v>
      </c>
      <c r="S53" s="28"/>
      <c r="T53" s="34">
        <f>MEDIAN(D2:D61)</f>
        <v>2.5</v>
      </c>
      <c r="U53" s="34"/>
      <c r="V53" s="35">
        <f>_xlfn.VAR.S(D2:D61)</f>
        <v>3.4322344632768327</v>
      </c>
      <c r="W53" s="35"/>
      <c r="X53" s="35">
        <f>_xlfn.STDEV.S(D2:D61)</f>
        <v>1.8526290679131732</v>
      </c>
      <c r="Y53" s="35"/>
      <c r="Z53" s="29">
        <f>X53/P53*100</f>
        <v>63.26564830665361</v>
      </c>
    </row>
    <row r="54" spans="1:26" ht="15" thickTop="1" x14ac:dyDescent="0.35">
      <c r="A54" s="1">
        <v>53</v>
      </c>
      <c r="B54" s="1">
        <v>245</v>
      </c>
      <c r="C54" s="1">
        <v>11</v>
      </c>
      <c r="D54" s="1">
        <v>4.0999999999999996</v>
      </c>
      <c r="E54" s="1" t="s">
        <v>8</v>
      </c>
      <c r="F54" s="1" t="s">
        <v>18</v>
      </c>
      <c r="G54" s="1" t="s">
        <v>14</v>
      </c>
      <c r="H54" s="1" t="s">
        <v>17</v>
      </c>
      <c r="J54" s="32" t="s">
        <v>4</v>
      </c>
      <c r="K54" s="33"/>
      <c r="L54" s="6" t="s">
        <v>19</v>
      </c>
      <c r="R54">
        <v>0.8</v>
      </c>
    </row>
    <row r="55" spans="1:26" x14ac:dyDescent="0.35">
      <c r="A55" s="1">
        <v>54</v>
      </c>
      <c r="B55" s="1">
        <v>255</v>
      </c>
      <c r="C55" s="1">
        <v>10</v>
      </c>
      <c r="D55" s="1">
        <v>4.3</v>
      </c>
      <c r="E55" s="1" t="s">
        <v>12</v>
      </c>
      <c r="F55" s="1" t="s">
        <v>9</v>
      </c>
      <c r="G55" s="1" t="s">
        <v>16</v>
      </c>
      <c r="H55" s="1" t="s">
        <v>11</v>
      </c>
      <c r="J55" s="32" t="s">
        <v>5</v>
      </c>
      <c r="K55" s="33"/>
      <c r="L55" s="6" t="s">
        <v>19</v>
      </c>
      <c r="R55">
        <v>2</v>
      </c>
    </row>
    <row r="56" spans="1:26" x14ac:dyDescent="0.35">
      <c r="A56" s="1">
        <v>55</v>
      </c>
      <c r="B56" s="1">
        <v>265</v>
      </c>
      <c r="C56" s="1">
        <v>12</v>
      </c>
      <c r="D56" s="1">
        <v>4.5999999999999996</v>
      </c>
      <c r="E56" s="1" t="s">
        <v>8</v>
      </c>
      <c r="F56" s="1" t="s">
        <v>13</v>
      </c>
      <c r="G56" s="1" t="s">
        <v>10</v>
      </c>
      <c r="H56" s="1" t="s">
        <v>17</v>
      </c>
      <c r="J56" s="32" t="s">
        <v>6</v>
      </c>
      <c r="K56" s="33"/>
      <c r="L56" s="6" t="s">
        <v>20</v>
      </c>
      <c r="R56">
        <v>1.1000000000000001</v>
      </c>
    </row>
    <row r="57" spans="1:26" x14ac:dyDescent="0.35">
      <c r="A57" s="1">
        <v>56</v>
      </c>
      <c r="B57" s="1">
        <v>275</v>
      </c>
      <c r="C57" s="1">
        <v>13</v>
      </c>
      <c r="D57" s="1">
        <v>4.9000000000000004</v>
      </c>
      <c r="E57" s="1" t="s">
        <v>12</v>
      </c>
      <c r="F57" s="1" t="s">
        <v>15</v>
      </c>
      <c r="G57" s="1" t="s">
        <v>14</v>
      </c>
      <c r="H57" s="1" t="s">
        <v>11</v>
      </c>
      <c r="J57" s="36" t="s">
        <v>7</v>
      </c>
      <c r="K57" s="37"/>
      <c r="L57" s="7" t="s">
        <v>19</v>
      </c>
      <c r="R57">
        <v>1.3</v>
      </c>
    </row>
    <row r="58" spans="1:26" x14ac:dyDescent="0.35">
      <c r="A58" s="1">
        <v>57</v>
      </c>
      <c r="B58" s="1">
        <v>285</v>
      </c>
      <c r="C58" s="1">
        <v>14</v>
      </c>
      <c r="D58" s="1">
        <v>5.2</v>
      </c>
      <c r="E58" s="1" t="s">
        <v>8</v>
      </c>
      <c r="F58" s="1" t="s">
        <v>9</v>
      </c>
      <c r="G58" s="1" t="s">
        <v>16</v>
      </c>
      <c r="H58" s="1" t="s">
        <v>17</v>
      </c>
      <c r="R58">
        <v>2.5</v>
      </c>
    </row>
    <row r="59" spans="1:26" x14ac:dyDescent="0.35">
      <c r="A59" s="1">
        <v>58</v>
      </c>
      <c r="B59" s="1">
        <v>295</v>
      </c>
      <c r="C59" s="1">
        <v>13</v>
      </c>
      <c r="D59" s="1">
        <v>5.4</v>
      </c>
      <c r="E59" s="1" t="s">
        <v>12</v>
      </c>
      <c r="F59" s="1" t="s">
        <v>13</v>
      </c>
      <c r="G59" s="1" t="s">
        <v>10</v>
      </c>
      <c r="H59" s="1" t="s">
        <v>11</v>
      </c>
      <c r="R59">
        <v>2.2000000000000002</v>
      </c>
    </row>
    <row r="60" spans="1:26" x14ac:dyDescent="0.35">
      <c r="A60" s="1">
        <v>59</v>
      </c>
      <c r="B60" s="1">
        <v>305</v>
      </c>
      <c r="C60" s="1">
        <v>15</v>
      </c>
      <c r="D60" s="1">
        <v>5.7</v>
      </c>
      <c r="E60" s="1" t="s">
        <v>8</v>
      </c>
      <c r="F60" s="1" t="s">
        <v>18</v>
      </c>
      <c r="G60" s="1" t="s">
        <v>14</v>
      </c>
      <c r="H60" s="1" t="s">
        <v>17</v>
      </c>
      <c r="R60">
        <v>1.8</v>
      </c>
    </row>
    <row r="61" spans="1:26" x14ac:dyDescent="0.35">
      <c r="A61" s="1">
        <v>60</v>
      </c>
      <c r="B61" s="1">
        <v>315</v>
      </c>
      <c r="C61" s="1">
        <v>14</v>
      </c>
      <c r="D61" s="1">
        <v>6</v>
      </c>
      <c r="E61" s="1" t="s">
        <v>12</v>
      </c>
      <c r="F61" s="1" t="s">
        <v>9</v>
      </c>
      <c r="G61" s="1" t="s">
        <v>16</v>
      </c>
      <c r="H61" s="1" t="s">
        <v>11</v>
      </c>
      <c r="R61">
        <v>1</v>
      </c>
    </row>
    <row r="62" spans="1:26" x14ac:dyDescent="0.35">
      <c r="R62">
        <v>0.9</v>
      </c>
    </row>
    <row r="63" spans="1:26" x14ac:dyDescent="0.35">
      <c r="R63">
        <v>0.7</v>
      </c>
    </row>
    <row r="64" spans="1:26" x14ac:dyDescent="0.35">
      <c r="R64">
        <v>0.6</v>
      </c>
    </row>
    <row r="65" spans="18:18" x14ac:dyDescent="0.35">
      <c r="R65">
        <v>3</v>
      </c>
    </row>
    <row r="66" spans="18:18" x14ac:dyDescent="0.35">
      <c r="R66">
        <v>6</v>
      </c>
    </row>
  </sheetData>
  <mergeCells count="31">
    <mergeCell ref="P53:Q53"/>
    <mergeCell ref="J56:K56"/>
    <mergeCell ref="J57:K57"/>
    <mergeCell ref="X52:Y52"/>
    <mergeCell ref="X51:Y51"/>
    <mergeCell ref="T52:U52"/>
    <mergeCell ref="R51:S51"/>
    <mergeCell ref="R52:S52"/>
    <mergeCell ref="P52:Q52"/>
    <mergeCell ref="N50:O50"/>
    <mergeCell ref="X53:Y53"/>
    <mergeCell ref="T53:U53"/>
    <mergeCell ref="V51:W51"/>
    <mergeCell ref="V52:W52"/>
    <mergeCell ref="V53:W53"/>
    <mergeCell ref="V50:W50"/>
    <mergeCell ref="X50:Y50"/>
    <mergeCell ref="N51:O51"/>
    <mergeCell ref="N52:O52"/>
    <mergeCell ref="N53:O53"/>
    <mergeCell ref="P51:Q51"/>
    <mergeCell ref="P50:Q50"/>
    <mergeCell ref="R50:S50"/>
    <mergeCell ref="T50:U50"/>
    <mergeCell ref="T51:U51"/>
    <mergeCell ref="J50:K50"/>
    <mergeCell ref="J51:K51"/>
    <mergeCell ref="J52:K52"/>
    <mergeCell ref="J54:K54"/>
    <mergeCell ref="J55:K55"/>
    <mergeCell ref="J53:K53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1C58-9D91-4693-8874-FBEE7ADA22AA}">
  <sheetPr codeName="Planilha2"/>
  <dimension ref="A3:F52"/>
  <sheetViews>
    <sheetView topLeftCell="A10" workbookViewId="0">
      <selection activeCell="A18" sqref="A18"/>
    </sheetView>
  </sheetViews>
  <sheetFormatPr defaultRowHeight="14.5" x14ac:dyDescent="0.35"/>
  <cols>
    <col min="1" max="1" width="19.453125" bestFit="1" customWidth="1"/>
    <col min="2" max="2" width="2.81640625" bestFit="1" customWidth="1"/>
    <col min="3" max="3" width="7.81640625" bestFit="1" customWidth="1"/>
    <col min="4" max="4" width="2.81640625" bestFit="1" customWidth="1"/>
    <col min="5" max="5" width="26.7265625" bestFit="1" customWidth="1"/>
    <col min="6" max="6" width="3.81640625" bestFit="1" customWidth="1"/>
    <col min="7" max="7" width="1.81640625" bestFit="1" customWidth="1"/>
    <col min="8" max="16" width="3.81640625" bestFit="1" customWidth="1"/>
    <col min="17" max="17" width="1.81640625" bestFit="1" customWidth="1"/>
    <col min="18" max="22" width="3.81640625" bestFit="1" customWidth="1"/>
    <col min="23" max="23" width="1.81640625" bestFit="1" customWidth="1"/>
    <col min="24" max="29" width="3.81640625" bestFit="1" customWidth="1"/>
    <col min="30" max="30" width="1.81640625" bestFit="1" customWidth="1"/>
    <col min="31" max="37" width="3.81640625" bestFit="1" customWidth="1"/>
    <col min="38" max="38" width="1.81640625" bestFit="1" customWidth="1"/>
    <col min="39" max="43" width="3.81640625" bestFit="1" customWidth="1"/>
    <col min="44" max="44" width="2.81640625" bestFit="1" customWidth="1"/>
    <col min="45" max="46" width="3.81640625" bestFit="1" customWidth="1"/>
    <col min="47" max="47" width="1.81640625" bestFit="1" customWidth="1"/>
    <col min="48" max="48" width="10" bestFit="1" customWidth="1"/>
  </cols>
  <sheetData>
    <row r="3" spans="1:4" x14ac:dyDescent="0.35">
      <c r="A3" s="8" t="s">
        <v>25</v>
      </c>
      <c r="B3" s="1" t="s">
        <v>28</v>
      </c>
      <c r="C3" s="1" t="s">
        <v>26</v>
      </c>
      <c r="D3" s="1" t="s">
        <v>27</v>
      </c>
    </row>
    <row r="4" spans="1:4" x14ac:dyDescent="0.35">
      <c r="A4" s="1" t="s">
        <v>37</v>
      </c>
      <c r="B4" s="9">
        <v>12</v>
      </c>
      <c r="C4" s="10">
        <v>0.2</v>
      </c>
      <c r="D4" s="9">
        <v>12</v>
      </c>
    </row>
    <row r="5" spans="1:4" x14ac:dyDescent="0.35">
      <c r="A5" s="1" t="s">
        <v>38</v>
      </c>
      <c r="B5" s="9">
        <v>12</v>
      </c>
      <c r="C5" s="10">
        <v>0.2</v>
      </c>
      <c r="D5" s="9">
        <v>12</v>
      </c>
    </row>
    <row r="6" spans="1:4" x14ac:dyDescent="0.35">
      <c r="A6" s="1" t="s">
        <v>39</v>
      </c>
      <c r="B6" s="9">
        <v>10</v>
      </c>
      <c r="C6" s="10">
        <v>0.16666666666666666</v>
      </c>
      <c r="D6" s="9">
        <v>10</v>
      </c>
    </row>
    <row r="7" spans="1:4" x14ac:dyDescent="0.35">
      <c r="A7" s="1" t="s">
        <v>40</v>
      </c>
      <c r="B7" s="9">
        <v>6</v>
      </c>
      <c r="C7" s="10">
        <v>0.1</v>
      </c>
      <c r="D7" s="9">
        <v>6</v>
      </c>
    </row>
    <row r="8" spans="1:4" x14ac:dyDescent="0.35">
      <c r="A8" s="1" t="s">
        <v>41</v>
      </c>
      <c r="B8" s="9">
        <v>6</v>
      </c>
      <c r="C8" s="10">
        <v>0.1</v>
      </c>
      <c r="D8" s="9">
        <v>6</v>
      </c>
    </row>
    <row r="9" spans="1:4" x14ac:dyDescent="0.35">
      <c r="A9" s="1" t="s">
        <v>42</v>
      </c>
      <c r="B9" s="9">
        <v>4</v>
      </c>
      <c r="C9" s="10">
        <v>6.6666666666666666E-2</v>
      </c>
      <c r="D9" s="9">
        <v>4</v>
      </c>
    </row>
    <row r="10" spans="1:4" x14ac:dyDescent="0.35">
      <c r="A10" s="1" t="s">
        <v>43</v>
      </c>
      <c r="B10" s="9">
        <v>6</v>
      </c>
      <c r="C10" s="10">
        <v>0.1</v>
      </c>
      <c r="D10" s="9">
        <v>6</v>
      </c>
    </row>
    <row r="11" spans="1:4" x14ac:dyDescent="0.35">
      <c r="A11" s="1" t="s">
        <v>44</v>
      </c>
      <c r="B11" s="9">
        <v>3</v>
      </c>
      <c r="C11" s="10">
        <v>0.05</v>
      </c>
      <c r="D11" s="9">
        <v>3</v>
      </c>
    </row>
    <row r="12" spans="1:4" x14ac:dyDescent="0.35">
      <c r="A12" s="1" t="s">
        <v>45</v>
      </c>
      <c r="B12" s="9">
        <v>1</v>
      </c>
      <c r="C12" s="10">
        <v>1.6666666666666666E-2</v>
      </c>
      <c r="D12" s="9">
        <v>1</v>
      </c>
    </row>
    <row r="13" spans="1:4" x14ac:dyDescent="0.35">
      <c r="A13" s="1" t="s">
        <v>24</v>
      </c>
      <c r="B13" s="9">
        <v>60</v>
      </c>
      <c r="C13" s="10">
        <v>1</v>
      </c>
      <c r="D13" s="9">
        <v>60</v>
      </c>
    </row>
    <row r="17" spans="1:2" x14ac:dyDescent="0.35">
      <c r="A17" s="11" t="s">
        <v>25</v>
      </c>
      <c r="B17" s="11" t="s">
        <v>28</v>
      </c>
    </row>
    <row r="18" spans="1:2" x14ac:dyDescent="0.35">
      <c r="A18" s="1" t="s">
        <v>37</v>
      </c>
      <c r="B18" s="9">
        <v>12</v>
      </c>
    </row>
    <row r="19" spans="1:2" x14ac:dyDescent="0.35">
      <c r="A19" s="1" t="s">
        <v>38</v>
      </c>
      <c r="B19" s="9">
        <v>12</v>
      </c>
    </row>
    <row r="20" spans="1:2" x14ac:dyDescent="0.35">
      <c r="A20" s="1" t="s">
        <v>39</v>
      </c>
      <c r="B20" s="9">
        <v>10</v>
      </c>
    </row>
    <row r="21" spans="1:2" x14ac:dyDescent="0.35">
      <c r="A21" s="1" t="s">
        <v>40</v>
      </c>
      <c r="B21" s="9">
        <v>6</v>
      </c>
    </row>
    <row r="22" spans="1:2" x14ac:dyDescent="0.35">
      <c r="A22" s="1" t="s">
        <v>41</v>
      </c>
      <c r="B22" s="9">
        <v>6</v>
      </c>
    </row>
    <row r="23" spans="1:2" x14ac:dyDescent="0.35">
      <c r="A23" s="1" t="s">
        <v>42</v>
      </c>
      <c r="B23" s="9">
        <v>4</v>
      </c>
    </row>
    <row r="24" spans="1:2" x14ac:dyDescent="0.35">
      <c r="A24" s="1" t="s">
        <v>43</v>
      </c>
      <c r="B24" s="9">
        <v>6</v>
      </c>
    </row>
    <row r="25" spans="1:2" x14ac:dyDescent="0.35">
      <c r="A25" s="1" t="s">
        <v>44</v>
      </c>
      <c r="B25" s="9">
        <v>3</v>
      </c>
    </row>
    <row r="26" spans="1:2" x14ac:dyDescent="0.35">
      <c r="A26" s="1" t="s">
        <v>45</v>
      </c>
      <c r="B26" s="9">
        <v>1</v>
      </c>
    </row>
    <row r="27" spans="1:2" x14ac:dyDescent="0.35">
      <c r="A27" s="12" t="s">
        <v>24</v>
      </c>
      <c r="B27" s="13">
        <v>60</v>
      </c>
    </row>
    <row r="35" spans="1:6" x14ac:dyDescent="0.35">
      <c r="C35" s="21"/>
      <c r="D35" s="21"/>
    </row>
    <row r="36" spans="1:6" x14ac:dyDescent="0.35">
      <c r="C36" s="22"/>
      <c r="D36" s="23"/>
    </row>
    <row r="37" spans="1:6" x14ac:dyDescent="0.35">
      <c r="C37" s="22"/>
      <c r="D37" s="23"/>
    </row>
    <row r="38" spans="1:6" x14ac:dyDescent="0.35">
      <c r="C38" s="22"/>
      <c r="D38" s="23"/>
    </row>
    <row r="39" spans="1:6" x14ac:dyDescent="0.35">
      <c r="C39" s="22"/>
      <c r="D39" s="23"/>
    </row>
    <row r="40" spans="1:6" x14ac:dyDescent="0.35">
      <c r="C40" s="22"/>
      <c r="D40" s="23"/>
    </row>
    <row r="41" spans="1:6" x14ac:dyDescent="0.35">
      <c r="C41" s="22"/>
      <c r="D41" s="23"/>
    </row>
    <row r="42" spans="1:6" x14ac:dyDescent="0.35">
      <c r="A42" s="24"/>
      <c r="B42" s="25"/>
      <c r="E42" s="22"/>
      <c r="F42" s="23"/>
    </row>
    <row r="43" spans="1:6" x14ac:dyDescent="0.35">
      <c r="E43" s="22"/>
      <c r="F43" s="23"/>
    </row>
    <row r="44" spans="1:6" x14ac:dyDescent="0.35">
      <c r="E44" s="22"/>
      <c r="F44" s="23"/>
    </row>
    <row r="45" spans="1:6" x14ac:dyDescent="0.35">
      <c r="E45" s="22"/>
      <c r="F45" s="23"/>
    </row>
    <row r="46" spans="1:6" x14ac:dyDescent="0.35">
      <c r="E46" s="22"/>
      <c r="F46" s="23"/>
    </row>
    <row r="47" spans="1:6" x14ac:dyDescent="0.35">
      <c r="E47" s="22"/>
      <c r="F47" s="23"/>
    </row>
    <row r="48" spans="1:6" x14ac:dyDescent="0.35">
      <c r="E48" s="22"/>
      <c r="F48" s="23"/>
    </row>
    <row r="49" spans="5:6" x14ac:dyDescent="0.35">
      <c r="E49" s="22"/>
      <c r="F49" s="23"/>
    </row>
    <row r="50" spans="5:6" x14ac:dyDescent="0.35">
      <c r="E50" s="22"/>
      <c r="F50" s="23"/>
    </row>
    <row r="51" spans="5:6" x14ac:dyDescent="0.35">
      <c r="E51" s="22"/>
      <c r="F51" s="23"/>
    </row>
    <row r="52" spans="5:6" x14ac:dyDescent="0.35">
      <c r="E52" s="22"/>
      <c r="F52" s="23"/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8683-9FF2-4AB3-9FF9-EB87E5A7F84B}">
  <sheetPr codeName="Planilha3"/>
  <dimension ref="A3:D41"/>
  <sheetViews>
    <sheetView topLeftCell="A4" workbookViewId="0">
      <selection activeCell="F42" sqref="F42"/>
    </sheetView>
  </sheetViews>
  <sheetFormatPr defaultRowHeight="14.5" x14ac:dyDescent="0.35"/>
  <cols>
    <col min="1" max="1" width="24.453125" customWidth="1"/>
    <col min="2" max="2" width="2.81640625" bestFit="1" customWidth="1"/>
    <col min="3" max="3" width="7.81640625" bestFit="1" customWidth="1"/>
    <col min="4" max="4" width="2.81640625" bestFit="1" customWidth="1"/>
  </cols>
  <sheetData>
    <row r="3" spans="1:4" x14ac:dyDescent="0.35">
      <c r="A3" s="14" t="s">
        <v>29</v>
      </c>
      <c r="B3" s="15" t="s">
        <v>28</v>
      </c>
      <c r="C3" s="15" t="s">
        <v>26</v>
      </c>
      <c r="D3" s="15" t="s">
        <v>27</v>
      </c>
    </row>
    <row r="4" spans="1:4" x14ac:dyDescent="0.35">
      <c r="A4" s="15">
        <v>2</v>
      </c>
      <c r="B4" s="16">
        <v>3</v>
      </c>
      <c r="C4" s="17">
        <v>0.05</v>
      </c>
      <c r="D4" s="16">
        <v>3</v>
      </c>
    </row>
    <row r="5" spans="1:4" x14ac:dyDescent="0.35">
      <c r="A5" s="15">
        <v>3</v>
      </c>
      <c r="B5" s="16">
        <v>5</v>
      </c>
      <c r="C5" s="17">
        <v>8.3333333333333329E-2</v>
      </c>
      <c r="D5" s="16">
        <v>8</v>
      </c>
    </row>
    <row r="6" spans="1:4" x14ac:dyDescent="0.35">
      <c r="A6" s="15">
        <v>4</v>
      </c>
      <c r="B6" s="16">
        <v>5</v>
      </c>
      <c r="C6" s="17">
        <v>8.3333333333333329E-2</v>
      </c>
      <c r="D6" s="16">
        <v>13</v>
      </c>
    </row>
    <row r="7" spans="1:4" x14ac:dyDescent="0.35">
      <c r="A7" s="15">
        <v>5</v>
      </c>
      <c r="B7" s="16">
        <v>4</v>
      </c>
      <c r="C7" s="17">
        <v>6.6666666666666666E-2</v>
      </c>
      <c r="D7" s="16">
        <v>17</v>
      </c>
    </row>
    <row r="8" spans="1:4" x14ac:dyDescent="0.35">
      <c r="A8" s="15">
        <v>6</v>
      </c>
      <c r="B8" s="16">
        <v>5</v>
      </c>
      <c r="C8" s="17">
        <v>8.3333333333333329E-2</v>
      </c>
      <c r="D8" s="16">
        <v>22</v>
      </c>
    </row>
    <row r="9" spans="1:4" x14ac:dyDescent="0.35">
      <c r="A9" s="15">
        <v>7</v>
      </c>
      <c r="B9" s="16">
        <v>6</v>
      </c>
      <c r="C9" s="17">
        <v>0.1</v>
      </c>
      <c r="D9" s="16">
        <v>28</v>
      </c>
    </row>
    <row r="10" spans="1:4" x14ac:dyDescent="0.35">
      <c r="A10" s="15">
        <v>8</v>
      </c>
      <c r="B10" s="16">
        <v>4</v>
      </c>
      <c r="C10" s="17">
        <v>6.6666666666666666E-2</v>
      </c>
      <c r="D10" s="16">
        <v>32</v>
      </c>
    </row>
    <row r="11" spans="1:4" x14ac:dyDescent="0.35">
      <c r="A11" s="15">
        <v>9</v>
      </c>
      <c r="B11" s="16">
        <v>3</v>
      </c>
      <c r="C11" s="17">
        <v>0.05</v>
      </c>
      <c r="D11" s="16">
        <v>35</v>
      </c>
    </row>
    <row r="12" spans="1:4" x14ac:dyDescent="0.35">
      <c r="A12" s="15">
        <v>10</v>
      </c>
      <c r="B12" s="16">
        <v>4</v>
      </c>
      <c r="C12" s="17">
        <v>6.6666666666666666E-2</v>
      </c>
      <c r="D12" s="16">
        <v>39</v>
      </c>
    </row>
    <row r="13" spans="1:4" x14ac:dyDescent="0.35">
      <c r="A13" s="15">
        <v>11</v>
      </c>
      <c r="B13" s="16">
        <v>4</v>
      </c>
      <c r="C13" s="17">
        <v>6.6666666666666666E-2</v>
      </c>
      <c r="D13" s="16">
        <v>43</v>
      </c>
    </row>
    <row r="14" spans="1:4" x14ac:dyDescent="0.35">
      <c r="A14" s="15">
        <v>12</v>
      </c>
      <c r="B14" s="16">
        <v>4</v>
      </c>
      <c r="C14" s="17">
        <v>6.6666666666666666E-2</v>
      </c>
      <c r="D14" s="16">
        <v>47</v>
      </c>
    </row>
    <row r="15" spans="1:4" x14ac:dyDescent="0.35">
      <c r="A15" s="15">
        <v>13</v>
      </c>
      <c r="B15" s="16">
        <v>5</v>
      </c>
      <c r="C15" s="17">
        <v>8.3333333333333329E-2</v>
      </c>
      <c r="D15" s="16">
        <v>52</v>
      </c>
    </row>
    <row r="16" spans="1:4" x14ac:dyDescent="0.35">
      <c r="A16" s="15">
        <v>14</v>
      </c>
      <c r="B16" s="16">
        <v>4</v>
      </c>
      <c r="C16" s="17">
        <v>6.6666666666666666E-2</v>
      </c>
      <c r="D16" s="16">
        <v>56</v>
      </c>
    </row>
    <row r="17" spans="1:4" x14ac:dyDescent="0.35">
      <c r="A17" s="15">
        <v>15</v>
      </c>
      <c r="B17" s="16">
        <v>2</v>
      </c>
      <c r="C17" s="17">
        <v>3.3333333333333333E-2</v>
      </c>
      <c r="D17" s="16">
        <v>58</v>
      </c>
    </row>
    <row r="18" spans="1:4" x14ac:dyDescent="0.35">
      <c r="A18" s="15">
        <v>16</v>
      </c>
      <c r="B18" s="16">
        <v>1</v>
      </c>
      <c r="C18" s="17">
        <v>1.6666666666666666E-2</v>
      </c>
      <c r="D18" s="16">
        <v>59</v>
      </c>
    </row>
    <row r="19" spans="1:4" x14ac:dyDescent="0.35">
      <c r="A19" s="15">
        <v>18</v>
      </c>
      <c r="B19" s="16">
        <v>1</v>
      </c>
      <c r="C19" s="17">
        <v>1.6666666666666666E-2</v>
      </c>
      <c r="D19" s="16">
        <v>60</v>
      </c>
    </row>
    <row r="20" spans="1:4" x14ac:dyDescent="0.35">
      <c r="A20" s="15" t="s">
        <v>24</v>
      </c>
      <c r="B20" s="16">
        <v>60</v>
      </c>
      <c r="C20" s="17">
        <v>1</v>
      </c>
      <c r="D20" s="16"/>
    </row>
    <row r="24" spans="1:4" x14ac:dyDescent="0.35">
      <c r="A24" s="18" t="s">
        <v>29</v>
      </c>
      <c r="B24" s="18" t="s">
        <v>28</v>
      </c>
    </row>
    <row r="25" spans="1:4" x14ac:dyDescent="0.35">
      <c r="A25" s="15">
        <v>2</v>
      </c>
      <c r="B25" s="16">
        <v>3</v>
      </c>
    </row>
    <row r="26" spans="1:4" x14ac:dyDescent="0.35">
      <c r="A26" s="15">
        <v>3</v>
      </c>
      <c r="B26" s="16">
        <v>5</v>
      </c>
    </row>
    <row r="27" spans="1:4" x14ac:dyDescent="0.35">
      <c r="A27" s="15">
        <v>4</v>
      </c>
      <c r="B27" s="16">
        <v>5</v>
      </c>
    </row>
    <row r="28" spans="1:4" x14ac:dyDescent="0.35">
      <c r="A28" s="15">
        <v>5</v>
      </c>
      <c r="B28" s="16">
        <v>4</v>
      </c>
    </row>
    <row r="29" spans="1:4" x14ac:dyDescent="0.35">
      <c r="A29" s="15">
        <v>6</v>
      </c>
      <c r="B29" s="16">
        <v>5</v>
      </c>
    </row>
    <row r="30" spans="1:4" x14ac:dyDescent="0.35">
      <c r="A30" s="15">
        <v>7</v>
      </c>
      <c r="B30" s="16">
        <v>6</v>
      </c>
    </row>
    <row r="31" spans="1:4" x14ac:dyDescent="0.35">
      <c r="A31" s="15">
        <v>8</v>
      </c>
      <c r="B31" s="16">
        <v>4</v>
      </c>
    </row>
    <row r="32" spans="1:4" x14ac:dyDescent="0.35">
      <c r="A32" s="15">
        <v>9</v>
      </c>
      <c r="B32" s="16">
        <v>3</v>
      </c>
    </row>
    <row r="33" spans="1:2" x14ac:dyDescent="0.35">
      <c r="A33" s="15">
        <v>10</v>
      </c>
      <c r="B33" s="16">
        <v>4</v>
      </c>
    </row>
    <row r="34" spans="1:2" x14ac:dyDescent="0.35">
      <c r="A34" s="15">
        <v>11</v>
      </c>
      <c r="B34" s="16">
        <v>4</v>
      </c>
    </row>
    <row r="35" spans="1:2" x14ac:dyDescent="0.35">
      <c r="A35" s="15">
        <v>12</v>
      </c>
      <c r="B35" s="16">
        <v>4</v>
      </c>
    </row>
    <row r="36" spans="1:2" x14ac:dyDescent="0.35">
      <c r="A36" s="15">
        <v>13</v>
      </c>
      <c r="B36" s="16">
        <v>5</v>
      </c>
    </row>
    <row r="37" spans="1:2" x14ac:dyDescent="0.35">
      <c r="A37" s="15">
        <v>14</v>
      </c>
      <c r="B37" s="16">
        <v>4</v>
      </c>
    </row>
    <row r="38" spans="1:2" x14ac:dyDescent="0.35">
      <c r="A38" s="15">
        <v>15</v>
      </c>
      <c r="B38" s="16">
        <v>2</v>
      </c>
    </row>
    <row r="39" spans="1:2" x14ac:dyDescent="0.35">
      <c r="A39" s="15">
        <v>16</v>
      </c>
      <c r="B39" s="16">
        <v>1</v>
      </c>
    </row>
    <row r="40" spans="1:2" x14ac:dyDescent="0.35">
      <c r="A40" s="15">
        <v>18</v>
      </c>
      <c r="B40" s="16">
        <v>1</v>
      </c>
    </row>
    <row r="41" spans="1:2" x14ac:dyDescent="0.35">
      <c r="A41" s="19" t="s">
        <v>24</v>
      </c>
      <c r="B41" s="20">
        <v>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EACB-222A-43C4-B6B8-BE010F23FC67}">
  <sheetPr codeName="Planilha4"/>
  <dimension ref="A3:D23"/>
  <sheetViews>
    <sheetView workbookViewId="0">
      <selection activeCell="A4" sqref="A4"/>
    </sheetView>
  </sheetViews>
  <sheetFormatPr defaultRowHeight="14.5" x14ac:dyDescent="0.35"/>
  <cols>
    <col min="1" max="1" width="17" bestFit="1" customWidth="1"/>
    <col min="2" max="2" width="2.81640625" bestFit="1" customWidth="1"/>
    <col min="3" max="3" width="7.81640625" bestFit="1" customWidth="1"/>
    <col min="4" max="4" width="2.81640625" bestFit="1" customWidth="1"/>
  </cols>
  <sheetData>
    <row r="3" spans="1:4" x14ac:dyDescent="0.35">
      <c r="A3" s="14" t="s">
        <v>46</v>
      </c>
      <c r="B3" s="15" t="s">
        <v>28</v>
      </c>
      <c r="C3" s="15" t="s">
        <v>26</v>
      </c>
      <c r="D3" s="15" t="s">
        <v>27</v>
      </c>
    </row>
    <row r="4" spans="1:4" x14ac:dyDescent="0.35">
      <c r="A4" s="15" t="s">
        <v>30</v>
      </c>
      <c r="B4" s="16">
        <v>18</v>
      </c>
      <c r="C4" s="17">
        <v>0.3</v>
      </c>
      <c r="D4" s="16">
        <v>18</v>
      </c>
    </row>
    <row r="5" spans="1:4" x14ac:dyDescent="0.35">
      <c r="A5" s="15" t="s">
        <v>31</v>
      </c>
      <c r="B5" s="16">
        <v>11</v>
      </c>
      <c r="C5" s="17">
        <v>0.18333333333333332</v>
      </c>
      <c r="D5" s="16">
        <v>29</v>
      </c>
    </row>
    <row r="6" spans="1:4" x14ac:dyDescent="0.35">
      <c r="A6" s="15" t="s">
        <v>32</v>
      </c>
      <c r="B6" s="16">
        <v>8</v>
      </c>
      <c r="C6" s="17">
        <v>0.13333333333333333</v>
      </c>
      <c r="D6" s="16">
        <v>37</v>
      </c>
    </row>
    <row r="7" spans="1:4" x14ac:dyDescent="0.35">
      <c r="A7" s="15" t="s">
        <v>33</v>
      </c>
      <c r="B7" s="16">
        <v>8</v>
      </c>
      <c r="C7" s="17">
        <v>0.13333333333333333</v>
      </c>
      <c r="D7" s="16">
        <v>45</v>
      </c>
    </row>
    <row r="8" spans="1:4" x14ac:dyDescent="0.35">
      <c r="A8" s="15" t="s">
        <v>34</v>
      </c>
      <c r="B8" s="16">
        <v>7</v>
      </c>
      <c r="C8" s="17">
        <v>0.11666666666666667</v>
      </c>
      <c r="D8" s="16">
        <v>52</v>
      </c>
    </row>
    <row r="9" spans="1:4" x14ac:dyDescent="0.35">
      <c r="A9" s="15" t="s">
        <v>35</v>
      </c>
      <c r="B9" s="16">
        <v>6</v>
      </c>
      <c r="C9" s="17">
        <v>0.1</v>
      </c>
      <c r="D9" s="16">
        <v>58</v>
      </c>
    </row>
    <row r="10" spans="1:4" x14ac:dyDescent="0.35">
      <c r="A10" s="15" t="s">
        <v>36</v>
      </c>
      <c r="B10" s="16">
        <v>2</v>
      </c>
      <c r="C10" s="17">
        <v>3.3333333333333333E-2</v>
      </c>
      <c r="D10" s="16">
        <v>60</v>
      </c>
    </row>
    <row r="11" spans="1:4" x14ac:dyDescent="0.35">
      <c r="A11" s="15" t="s">
        <v>24</v>
      </c>
      <c r="B11" s="16">
        <v>60</v>
      </c>
      <c r="C11" s="17">
        <v>1</v>
      </c>
      <c r="D11" s="16"/>
    </row>
    <row r="15" spans="1:4" x14ac:dyDescent="0.35">
      <c r="A15" s="18" t="s">
        <v>23</v>
      </c>
      <c r="B15" s="18" t="s">
        <v>28</v>
      </c>
    </row>
    <row r="16" spans="1:4" x14ac:dyDescent="0.35">
      <c r="A16" s="15" t="s">
        <v>30</v>
      </c>
      <c r="B16" s="16">
        <v>18</v>
      </c>
    </row>
    <row r="17" spans="1:2" x14ac:dyDescent="0.35">
      <c r="A17" s="15" t="s">
        <v>31</v>
      </c>
      <c r="B17" s="16">
        <v>11</v>
      </c>
    </row>
    <row r="18" spans="1:2" x14ac:dyDescent="0.35">
      <c r="A18" s="15" t="s">
        <v>32</v>
      </c>
      <c r="B18" s="16">
        <v>8</v>
      </c>
    </row>
    <row r="19" spans="1:2" x14ac:dyDescent="0.35">
      <c r="A19" s="15" t="s">
        <v>33</v>
      </c>
      <c r="B19" s="16">
        <v>8</v>
      </c>
    </row>
    <row r="20" spans="1:2" x14ac:dyDescent="0.35">
      <c r="A20" s="15" t="s">
        <v>34</v>
      </c>
      <c r="B20" s="16">
        <v>7</v>
      </c>
    </row>
    <row r="21" spans="1:2" x14ac:dyDescent="0.35">
      <c r="A21" s="15" t="s">
        <v>35</v>
      </c>
      <c r="B21" s="16">
        <v>6</v>
      </c>
    </row>
    <row r="22" spans="1:2" x14ac:dyDescent="0.35">
      <c r="A22" s="15" t="s">
        <v>36</v>
      </c>
      <c r="B22" s="16">
        <v>2</v>
      </c>
    </row>
    <row r="23" spans="1:2" x14ac:dyDescent="0.35">
      <c r="A23" s="19" t="s">
        <v>24</v>
      </c>
      <c r="B23" s="20">
        <v>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ACBA-5F69-4911-8427-0D54C30D4C0E}">
  <sheetPr codeName="Planilha5"/>
  <dimension ref="A3:D12"/>
  <sheetViews>
    <sheetView workbookViewId="0">
      <selection activeCell="P28" sqref="P28"/>
    </sheetView>
  </sheetViews>
  <sheetFormatPr defaultRowHeight="14.5" x14ac:dyDescent="0.35"/>
  <cols>
    <col min="1" max="1" width="13.54296875" bestFit="1" customWidth="1"/>
    <col min="2" max="2" width="2.81640625" bestFit="1" customWidth="1"/>
    <col min="3" max="3" width="7.81640625" bestFit="1" customWidth="1"/>
    <col min="4" max="4" width="2.81640625" bestFit="1" customWidth="1"/>
  </cols>
  <sheetData>
    <row r="3" spans="1:4" x14ac:dyDescent="0.35">
      <c r="A3" s="8" t="s">
        <v>47</v>
      </c>
      <c r="B3" s="1" t="s">
        <v>28</v>
      </c>
      <c r="C3" s="1" t="s">
        <v>26</v>
      </c>
      <c r="D3" s="1" t="s">
        <v>27</v>
      </c>
    </row>
    <row r="4" spans="1:4" x14ac:dyDescent="0.35">
      <c r="A4" s="1" t="s">
        <v>12</v>
      </c>
      <c r="B4" s="9">
        <v>33</v>
      </c>
      <c r="C4" s="10">
        <v>0.55000000000000004</v>
      </c>
      <c r="D4" s="9">
        <v>33</v>
      </c>
    </row>
    <row r="5" spans="1:4" x14ac:dyDescent="0.35">
      <c r="A5" s="1" t="s">
        <v>8</v>
      </c>
      <c r="B5" s="9">
        <v>27</v>
      </c>
      <c r="C5" s="10">
        <v>0.45</v>
      </c>
      <c r="D5" s="9">
        <v>60</v>
      </c>
    </row>
    <row r="6" spans="1:4" x14ac:dyDescent="0.35">
      <c r="A6" s="1" t="s">
        <v>24</v>
      </c>
      <c r="B6" s="9">
        <v>60</v>
      </c>
      <c r="C6" s="10">
        <v>1</v>
      </c>
      <c r="D6" s="9"/>
    </row>
    <row r="9" spans="1:4" x14ac:dyDescent="0.35">
      <c r="A9" s="11" t="s">
        <v>47</v>
      </c>
      <c r="B9" s="11" t="s">
        <v>28</v>
      </c>
    </row>
    <row r="10" spans="1:4" x14ac:dyDescent="0.35">
      <c r="A10" s="1" t="s">
        <v>12</v>
      </c>
      <c r="B10" s="9">
        <v>33</v>
      </c>
    </row>
    <row r="11" spans="1:4" x14ac:dyDescent="0.35">
      <c r="A11" s="1" t="s">
        <v>8</v>
      </c>
      <c r="B11" s="9">
        <v>27</v>
      </c>
    </row>
    <row r="12" spans="1:4" x14ac:dyDescent="0.35">
      <c r="A12" s="12" t="s">
        <v>24</v>
      </c>
      <c r="B12" s="13">
        <v>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0F53-1099-459F-BE17-73BB8AB9D61F}">
  <sheetPr codeName="Planilha6"/>
  <dimension ref="A3:D16"/>
  <sheetViews>
    <sheetView workbookViewId="0">
      <selection activeCell="Q23" sqref="Q23"/>
    </sheetView>
  </sheetViews>
  <sheetFormatPr defaultRowHeight="14.5" x14ac:dyDescent="0.35"/>
  <cols>
    <col min="1" max="1" width="10" bestFit="1" customWidth="1"/>
    <col min="2" max="2" width="2.81640625" bestFit="1" customWidth="1"/>
    <col min="3" max="3" width="7.81640625" bestFit="1" customWidth="1"/>
    <col min="4" max="4" width="2.81640625" bestFit="1" customWidth="1"/>
  </cols>
  <sheetData>
    <row r="3" spans="1:4" x14ac:dyDescent="0.35">
      <c r="A3" s="8" t="s">
        <v>48</v>
      </c>
      <c r="B3" s="1" t="s">
        <v>28</v>
      </c>
      <c r="C3" s="1" t="s">
        <v>26</v>
      </c>
      <c r="D3" s="1" t="s">
        <v>27</v>
      </c>
    </row>
    <row r="4" spans="1:4" x14ac:dyDescent="0.35">
      <c r="A4" s="1" t="s">
        <v>15</v>
      </c>
      <c r="B4" s="9">
        <v>10</v>
      </c>
      <c r="C4" s="10">
        <v>0.16666666666666666</v>
      </c>
      <c r="D4" s="9">
        <v>10</v>
      </c>
    </row>
    <row r="5" spans="1:4" x14ac:dyDescent="0.35">
      <c r="A5" s="1" t="s">
        <v>18</v>
      </c>
      <c r="B5" s="9">
        <v>10</v>
      </c>
      <c r="C5" s="10">
        <v>0.16666666666666666</v>
      </c>
      <c r="D5" s="9">
        <v>20</v>
      </c>
    </row>
    <row r="6" spans="1:4" x14ac:dyDescent="0.35">
      <c r="A6" s="1" t="s">
        <v>9</v>
      </c>
      <c r="B6" s="9">
        <v>22</v>
      </c>
      <c r="C6" s="10">
        <v>0.36666666666666664</v>
      </c>
      <c r="D6" s="9">
        <v>42</v>
      </c>
    </row>
    <row r="7" spans="1:4" x14ac:dyDescent="0.35">
      <c r="A7" s="1" t="s">
        <v>13</v>
      </c>
      <c r="B7" s="9">
        <v>18</v>
      </c>
      <c r="C7" s="10">
        <v>0.3</v>
      </c>
      <c r="D7" s="9">
        <v>60</v>
      </c>
    </row>
    <row r="8" spans="1:4" x14ac:dyDescent="0.35">
      <c r="A8" s="1" t="s">
        <v>24</v>
      </c>
      <c r="B8" s="9">
        <v>60</v>
      </c>
      <c r="C8" s="10">
        <v>1</v>
      </c>
      <c r="D8" s="9"/>
    </row>
    <row r="11" spans="1:4" x14ac:dyDescent="0.35">
      <c r="A11" s="11" t="s">
        <v>48</v>
      </c>
      <c r="B11" s="11" t="s">
        <v>28</v>
      </c>
    </row>
    <row r="12" spans="1:4" x14ac:dyDescent="0.35">
      <c r="A12" s="1" t="s">
        <v>15</v>
      </c>
      <c r="B12" s="9">
        <v>10</v>
      </c>
    </row>
    <row r="13" spans="1:4" x14ac:dyDescent="0.35">
      <c r="A13" s="1" t="s">
        <v>18</v>
      </c>
      <c r="B13" s="9">
        <v>10</v>
      </c>
    </row>
    <row r="14" spans="1:4" x14ac:dyDescent="0.35">
      <c r="A14" s="1" t="s">
        <v>9</v>
      </c>
      <c r="B14" s="9">
        <v>22</v>
      </c>
    </row>
    <row r="15" spans="1:4" x14ac:dyDescent="0.35">
      <c r="A15" s="1" t="s">
        <v>13</v>
      </c>
      <c r="B15" s="9">
        <v>18</v>
      </c>
    </row>
    <row r="16" spans="1:4" x14ac:dyDescent="0.35">
      <c r="A16" s="12" t="s">
        <v>24</v>
      </c>
      <c r="B16" s="13">
        <v>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40B5-799D-49EF-84DA-81B27C3CC8B3}">
  <sheetPr codeName="Planilha7"/>
  <dimension ref="A3:D14"/>
  <sheetViews>
    <sheetView topLeftCell="A4" workbookViewId="0">
      <selection activeCell="A10" sqref="A10:B13"/>
    </sheetView>
  </sheetViews>
  <sheetFormatPr defaultRowHeight="14.5" x14ac:dyDescent="0.35"/>
  <cols>
    <col min="1" max="1" width="11.81640625" bestFit="1" customWidth="1"/>
    <col min="2" max="2" width="2.81640625" bestFit="1" customWidth="1"/>
    <col min="3" max="3" width="7.81640625" bestFit="1" customWidth="1"/>
    <col min="4" max="4" width="2.81640625" bestFit="1" customWidth="1"/>
  </cols>
  <sheetData>
    <row r="3" spans="1:4" x14ac:dyDescent="0.35">
      <c r="A3" s="8" t="s">
        <v>6</v>
      </c>
      <c r="B3" s="1" t="s">
        <v>28</v>
      </c>
      <c r="C3" s="1" t="s">
        <v>26</v>
      </c>
      <c r="D3" s="1" t="s">
        <v>27</v>
      </c>
    </row>
    <row r="4" spans="1:4" x14ac:dyDescent="0.35">
      <c r="A4" s="1" t="s">
        <v>10</v>
      </c>
      <c r="B4" s="9">
        <v>15</v>
      </c>
      <c r="C4" s="10">
        <v>0.25</v>
      </c>
      <c r="D4" s="9">
        <v>15</v>
      </c>
    </row>
    <row r="5" spans="1:4" x14ac:dyDescent="0.35">
      <c r="A5" s="1" t="s">
        <v>16</v>
      </c>
      <c r="B5" s="9">
        <v>25</v>
      </c>
      <c r="C5" s="10">
        <v>0.41666666666666669</v>
      </c>
      <c r="D5" s="9">
        <v>40</v>
      </c>
    </row>
    <row r="6" spans="1:4" x14ac:dyDescent="0.35">
      <c r="A6" s="1" t="s">
        <v>14</v>
      </c>
      <c r="B6" s="9">
        <v>20</v>
      </c>
      <c r="C6" s="10">
        <v>0.33333333333333331</v>
      </c>
      <c r="D6" s="9">
        <v>60</v>
      </c>
    </row>
    <row r="7" spans="1:4" x14ac:dyDescent="0.35">
      <c r="A7" s="1" t="s">
        <v>24</v>
      </c>
      <c r="B7" s="9">
        <v>60</v>
      </c>
      <c r="C7" s="10">
        <v>1</v>
      </c>
      <c r="D7" s="9"/>
    </row>
    <row r="10" spans="1:4" x14ac:dyDescent="0.35">
      <c r="A10" s="11" t="s">
        <v>6</v>
      </c>
      <c r="B10" s="11" t="s">
        <v>28</v>
      </c>
    </row>
    <row r="11" spans="1:4" x14ac:dyDescent="0.35">
      <c r="A11" s="1" t="s">
        <v>10</v>
      </c>
      <c r="B11" s="9">
        <v>15</v>
      </c>
    </row>
    <row r="12" spans="1:4" x14ac:dyDescent="0.35">
      <c r="A12" s="1" t="s">
        <v>16</v>
      </c>
      <c r="B12" s="9">
        <v>25</v>
      </c>
    </row>
    <row r="13" spans="1:4" x14ac:dyDescent="0.35">
      <c r="A13" s="1" t="s">
        <v>14</v>
      </c>
      <c r="B13" s="9">
        <v>20</v>
      </c>
    </row>
    <row r="14" spans="1:4" x14ac:dyDescent="0.35">
      <c r="A14" s="12" t="s">
        <v>24</v>
      </c>
      <c r="B14" s="13">
        <v>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32B4-D917-47CD-8634-6912E0CE5486}">
  <sheetPr codeName="Planilha8"/>
  <dimension ref="A3:D12"/>
  <sheetViews>
    <sheetView workbookViewId="0">
      <selection activeCell="A9" sqref="A9:B11"/>
    </sheetView>
  </sheetViews>
  <sheetFormatPr defaultRowHeight="14.5" x14ac:dyDescent="0.35"/>
  <cols>
    <col min="1" max="1" width="10" bestFit="1" customWidth="1"/>
    <col min="2" max="2" width="2.81640625" bestFit="1" customWidth="1"/>
    <col min="3" max="3" width="7.81640625" bestFit="1" customWidth="1"/>
    <col min="4" max="4" width="2.81640625" bestFit="1" customWidth="1"/>
  </cols>
  <sheetData>
    <row r="3" spans="1:4" x14ac:dyDescent="0.35">
      <c r="A3" s="8" t="s">
        <v>7</v>
      </c>
      <c r="B3" s="1" t="s">
        <v>28</v>
      </c>
      <c r="C3" s="1" t="s">
        <v>26</v>
      </c>
      <c r="D3" s="1" t="s">
        <v>27</v>
      </c>
    </row>
    <row r="4" spans="1:4" x14ac:dyDescent="0.35">
      <c r="A4" s="1" t="s">
        <v>17</v>
      </c>
      <c r="B4" s="9">
        <v>18</v>
      </c>
      <c r="C4" s="10">
        <v>0.3</v>
      </c>
      <c r="D4" s="9">
        <v>18</v>
      </c>
    </row>
    <row r="5" spans="1:4" x14ac:dyDescent="0.35">
      <c r="A5" s="1" t="s">
        <v>11</v>
      </c>
      <c r="B5" s="9">
        <v>42</v>
      </c>
      <c r="C5" s="10">
        <v>0.7</v>
      </c>
      <c r="D5" s="9">
        <v>60</v>
      </c>
    </row>
    <row r="6" spans="1:4" x14ac:dyDescent="0.35">
      <c r="A6" s="1" t="s">
        <v>24</v>
      </c>
      <c r="B6" s="9">
        <v>60</v>
      </c>
      <c r="C6" s="10">
        <v>1</v>
      </c>
      <c r="D6" s="9"/>
    </row>
    <row r="9" spans="1:4" x14ac:dyDescent="0.35">
      <c r="A9" s="11" t="s">
        <v>7</v>
      </c>
      <c r="B9" s="11" t="s">
        <v>28</v>
      </c>
    </row>
    <row r="10" spans="1:4" x14ac:dyDescent="0.35">
      <c r="A10" s="1" t="s">
        <v>17</v>
      </c>
      <c r="B10" s="9">
        <v>18</v>
      </c>
    </row>
    <row r="11" spans="1:4" x14ac:dyDescent="0.35">
      <c r="A11" s="1" t="s">
        <v>11</v>
      </c>
      <c r="B11" s="9">
        <v>42</v>
      </c>
    </row>
    <row r="12" spans="1:4" x14ac:dyDescent="0.35">
      <c r="A12" s="12" t="s">
        <v>24</v>
      </c>
      <c r="B12" s="13">
        <v>60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Dados_TI</vt:lpstr>
      <vt:lpstr>Tempo Resposta</vt:lpstr>
      <vt:lpstr>Sessão</vt:lpstr>
      <vt:lpstr>Tamanho Mb</vt:lpstr>
      <vt:lpstr>Usuário</vt:lpstr>
      <vt:lpstr>Região</vt:lpstr>
      <vt:lpstr>Prioridade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2026-03-23T11:46:29Z</dcterms:created>
  <dcterms:modified xsi:type="dcterms:W3CDTF">2026-04-08T14:28:35Z</dcterms:modified>
</cp:coreProperties>
</file>